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deepti.mayee\Documents\Appraisal\"/>
    </mc:Choice>
  </mc:AlternateContent>
  <xr:revisionPtr revIDLastSave="0" documentId="13_ncr:1_{1EE7406F-8667-4E15-A1C0-BDE20FA9B632}" xr6:coauthVersionLast="46" xr6:coauthVersionMax="46" xr10:uidLastSave="{00000000-0000-0000-0000-000000000000}"/>
  <bookViews>
    <workbookView xWindow="-110" yWindow="-110" windowWidth="19420" windowHeight="10420" activeTab="2" xr2:uid="{00000000-000D-0000-FFFF-FFFF00000000}"/>
  </bookViews>
  <sheets>
    <sheet name="Instructions" sheetId="1" r:id="rId1"/>
    <sheet name="Ratings" sheetId="2" r:id="rId2"/>
    <sheet name="Appraisal Form" sheetId="3" r:id="rId3"/>
  </sheets>
  <definedNames>
    <definedName name="behave">'Appraisal Form'!$H$48:$H$61</definedName>
    <definedName name="data">Instructions!$A$24:$E$130</definedName>
    <definedName name="data1">Instructions!$A$24:$E$1048576</definedName>
    <definedName name="kralist">'Appraisal Form'!$F$48:$F$74</definedName>
    <definedName name="kralist1">'Appraisal Form'!$F$48:$F$78</definedName>
  </definedName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 i="3" l="1"/>
  <c r="H5" i="3"/>
  <c r="E64" i="3"/>
  <c r="M38" i="3" l="1"/>
  <c r="K38" i="3" s="1"/>
  <c r="M11" i="3"/>
  <c r="M20" i="3"/>
  <c r="K20" i="3" s="1"/>
  <c r="M19" i="3"/>
  <c r="K19" i="3" s="1"/>
  <c r="M18" i="3"/>
  <c r="K18" i="3" s="1"/>
  <c r="M17" i="3"/>
  <c r="K17" i="3" s="1"/>
  <c r="M16" i="3"/>
  <c r="K16" i="3" s="1"/>
  <c r="M15" i="3"/>
  <c r="M14" i="3"/>
  <c r="J16" i="3"/>
  <c r="J17" i="3"/>
  <c r="J18" i="3"/>
  <c r="J19" i="3"/>
  <c r="J20" i="3"/>
  <c r="J38" i="3"/>
  <c r="E40" i="3"/>
  <c r="J5" i="3"/>
  <c r="M39" i="3" l="1"/>
  <c r="K39" i="3" s="1"/>
  <c r="M37" i="3"/>
  <c r="K37" i="3" s="1"/>
  <c r="M36" i="3"/>
  <c r="K36" i="3" s="1"/>
  <c r="M35" i="3"/>
  <c r="K35" i="3" s="1"/>
  <c r="M34" i="3"/>
  <c r="K34" i="3" s="1"/>
  <c r="M33" i="3"/>
  <c r="K33" i="3" s="1"/>
  <c r="M32" i="3"/>
  <c r="K32" i="3" s="1"/>
  <c r="M31" i="3"/>
  <c r="K31" i="3" s="1"/>
  <c r="M30" i="3"/>
  <c r="K30" i="3" s="1"/>
  <c r="M25" i="3"/>
  <c r="M24" i="3"/>
  <c r="M23" i="3"/>
  <c r="M22" i="3"/>
  <c r="M21" i="3"/>
  <c r="M13" i="3"/>
  <c r="M12" i="3"/>
  <c r="J33" i="3"/>
  <c r="J34" i="3"/>
  <c r="J35" i="3"/>
  <c r="J36" i="3"/>
  <c r="J37" i="3"/>
  <c r="J39" i="3"/>
  <c r="J30" i="3"/>
  <c r="B28" i="3"/>
  <c r="B45" i="3" s="1"/>
  <c r="B8" i="3" l="1"/>
  <c r="B44" i="3" s="1"/>
  <c r="J6" i="3"/>
  <c r="J12" i="3"/>
  <c r="J11" i="3" l="1"/>
  <c r="J14" i="3" l="1"/>
  <c r="K22" i="3" l="1"/>
  <c r="K21" i="3"/>
  <c r="K15" i="3"/>
  <c r="J22" i="3"/>
  <c r="J21" i="3"/>
  <c r="J15" i="3"/>
  <c r="D26" i="3"/>
  <c r="E26" i="3" s="1"/>
  <c r="J24" i="3" l="1"/>
  <c r="K24" i="3"/>
  <c r="K14" i="3"/>
  <c r="K11" i="3"/>
  <c r="E41" i="3"/>
  <c r="J13" i="3" l="1"/>
  <c r="J23" i="3"/>
  <c r="J25" i="3"/>
  <c r="K12" i="3"/>
  <c r="K13" i="3"/>
  <c r="K23" i="3"/>
  <c r="K25" i="3"/>
  <c r="J26" i="3" l="1"/>
  <c r="J44" i="3" s="1"/>
  <c r="K26" i="3"/>
  <c r="K44" i="3" s="1"/>
  <c r="J32" i="3" l="1"/>
  <c r="J31" i="3"/>
  <c r="J40" i="3" l="1"/>
  <c r="J46" i="3" s="1"/>
  <c r="K40" i="3"/>
  <c r="J45" i="3" l="1"/>
  <c r="K46" i="3"/>
  <c r="K4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Ramya Hemmige Venkatesh</author>
  </authors>
  <commentList>
    <comment ref="G10" authorId="0" shapeId="0" xr:uid="{DF18D4B8-12E7-4A54-8DD1-24FF55210A82}">
      <text>
        <r>
          <rPr>
            <b/>
            <sz val="9"/>
            <color indexed="81"/>
            <rFont val="Tahoma"/>
            <family val="2"/>
          </rPr>
          <t>Ramya Hemmige Venkatesh:</t>
        </r>
        <r>
          <rPr>
            <sz val="9"/>
            <color indexed="81"/>
            <rFont val="Tahoma"/>
            <family val="2"/>
          </rPr>
          <t xml:space="preserve">
refer Ratings tab</t>
        </r>
      </text>
    </comment>
    <comment ref="D26" authorId="0" shapeId="0" xr:uid="{7C8127F5-7B3C-4111-99A9-43060A6AD401}">
      <text>
        <r>
          <rPr>
            <b/>
            <sz val="9"/>
            <color indexed="81"/>
            <rFont val="Tahoma"/>
            <family val="2"/>
          </rPr>
          <t>Ramya Hemmige Venkatesh:</t>
        </r>
        <r>
          <rPr>
            <sz val="9"/>
            <color indexed="81"/>
            <rFont val="Tahoma"/>
            <family val="2"/>
          </rPr>
          <t xml:space="preserve">
Weightage can neither be less than nor more than 100% 
To be exactly 100%</t>
        </r>
      </text>
    </comment>
    <comment ref="E40" authorId="0" shapeId="0" xr:uid="{C0EE7D1F-A66C-4A19-8159-741766D4FCB6}">
      <text>
        <r>
          <rPr>
            <b/>
            <sz val="9"/>
            <color indexed="81"/>
            <rFont val="Tahoma"/>
            <family val="2"/>
          </rPr>
          <t>Ramya Hemmige Venkatesh:</t>
        </r>
        <r>
          <rPr>
            <sz val="9"/>
            <color indexed="81"/>
            <rFont val="Tahoma"/>
            <family val="2"/>
          </rPr>
          <t xml:space="preserve">
Weightage can neither be less than nor more than 100% 
To be exactly 100%</t>
        </r>
      </text>
    </comment>
  </commentList>
</comments>
</file>

<file path=xl/sharedStrings.xml><?xml version="1.0" encoding="utf-8"?>
<sst xmlns="http://schemas.openxmlformats.org/spreadsheetml/2006/main" count="234" uniqueCount="181">
  <si>
    <t>Rating Scale - 4</t>
  </si>
  <si>
    <t>Rating Scale --3</t>
  </si>
  <si>
    <t>Rating Scale - 2</t>
  </si>
  <si>
    <t>Rating Scale --1</t>
  </si>
  <si>
    <t>Exceeded Expectations</t>
  </si>
  <si>
    <t>Fully Met Expectations</t>
  </si>
  <si>
    <t>Partially Met Expectations</t>
  </si>
  <si>
    <t>Far Short Of Expectations</t>
  </si>
  <si>
    <t xml:space="preserve"> Sl. no</t>
  </si>
  <si>
    <t>Manager comments</t>
  </si>
  <si>
    <t xml:space="preserve">    Manager Rating</t>
  </si>
  <si>
    <t>Self Rating</t>
  </si>
  <si>
    <t>Manager Rating</t>
  </si>
  <si>
    <t>4-Exceeds Expectations</t>
  </si>
  <si>
    <t>3-Fully Met expectations</t>
  </si>
  <si>
    <t>2-Partially Met expectations</t>
  </si>
  <si>
    <t>1- Far short of expectations</t>
  </si>
  <si>
    <t>Sl. No</t>
  </si>
  <si>
    <t>Weightage</t>
  </si>
  <si>
    <t>Self Comments</t>
  </si>
  <si>
    <t>Manager Comments</t>
  </si>
  <si>
    <t>Far Exceed Expectations</t>
  </si>
  <si>
    <t>Exceeds Expectations</t>
  </si>
  <si>
    <t>Fully Met expectations</t>
  </si>
  <si>
    <t>Partially Met expectations</t>
  </si>
  <si>
    <t>Far short of expectations</t>
  </si>
  <si>
    <t>Behavioral competency</t>
  </si>
  <si>
    <t>Not Applicable</t>
  </si>
  <si>
    <r>
      <rPr>
        <b/>
        <sz val="14"/>
        <color theme="1"/>
        <rFont val="Calibri"/>
        <family val="2"/>
        <scheme val="minor"/>
      </rPr>
      <t>Weighted</t>
    </r>
    <r>
      <rPr>
        <sz val="14"/>
        <color theme="1"/>
        <rFont val="Calibri"/>
        <family val="2"/>
        <scheme val="minor"/>
      </rPr>
      <t xml:space="preserve"> </t>
    </r>
    <r>
      <rPr>
        <b/>
        <sz val="14"/>
        <color theme="1"/>
        <rFont val="Calibri"/>
        <family val="2"/>
        <scheme val="minor"/>
      </rPr>
      <t>Average</t>
    </r>
    <r>
      <rPr>
        <sz val="14"/>
        <color theme="1"/>
        <rFont val="Calibri"/>
        <family val="2"/>
        <scheme val="minor"/>
      </rPr>
      <t xml:space="preserve"> </t>
    </r>
    <r>
      <rPr>
        <b/>
        <sz val="14"/>
        <color theme="1"/>
        <rFont val="Calibri"/>
        <family val="2"/>
        <scheme val="minor"/>
      </rPr>
      <t>Score (Self)</t>
    </r>
  </si>
  <si>
    <t xml:space="preserve"> Weighted Average score (Manager)</t>
  </si>
  <si>
    <t>Weightage 
(In percentage: Total 100%)</t>
  </si>
  <si>
    <t>Total Weightage</t>
  </si>
  <si>
    <t xml:space="preserve">Overall Rating </t>
  </si>
  <si>
    <t>By Self</t>
  </si>
  <si>
    <t>By Manager</t>
  </si>
  <si>
    <t>Weighted Average Scores</t>
  </si>
  <si>
    <t>Target
(measures, if any)</t>
  </si>
  <si>
    <t>Achievement
(measures, if any)</t>
  </si>
  <si>
    <t>Name of Appraisee:</t>
  </si>
  <si>
    <t>Employee ID:</t>
  </si>
  <si>
    <t>Designation:</t>
  </si>
  <si>
    <t>DOJ:</t>
  </si>
  <si>
    <t>Project name(s):</t>
  </si>
  <si>
    <t>KRAs</t>
  </si>
  <si>
    <t>0 - Not Applicable</t>
  </si>
  <si>
    <t>- Consistently achieved and frequently exceeded KRAs through concerted effort and according to plan.
- Overall KRA was completed and final results exceeded expectations
- Work is of high quality in all KRAs and deliverables.
- Demonstrates a high level of competence when carrying out KRAs
- Produced a high quality outcome that exceeds the expectations outlined in this KRA
- Demonstrates the ability to take on responsibility above and beyond the KRAs with a high level of success
- Required little supervision in completing this KRA</t>
  </si>
  <si>
    <t>- Completed all key tasks and objectives necessary to achieve the KRA.
- KRA was completed successfully
- Quality of work related to the KRA fully met expectations
- Work is competent in all significant areas of responsibility relating to the KRA.
- Produced outcomes that met the expectations outlined in this KRA
- Demonstrated necessary ability to complete this KRA successfully.
- Completed KRA with average to minimal supervision.</t>
  </si>
  <si>
    <t>- Completed some but not all of the key tasks and objectives necessary to achieve the KRA.
- KRA expectations and deliverables partially  met;
- Work related to the KRA needs some revision or adjustments to meet expectations
- Partially demonstrated  the  competency and knowledge required to fully accomplish the KRA
- Produced an outcome that partially met the expectations outlined in this KRA
- Partially demonstrated the responsibility needed to successfully complete this KRA
- Required close supervision to achieve KRAs</t>
  </si>
  <si>
    <t>- Did not complete key tasks and objectives necessary to successfully achieve the KRA
- KRA have not been completed
- Work related to the KRA consistently needs revision or adjustments to meet a minimal success level
- Did not demonstrate the competence and knowledge required to accomplish the KRA
- Produced a poor quality outcome that did not meet the expectations outlined in this KRA.
- Did not demonstrates the ability to take on the responsibility needed to successfully complete this KRA
- Required close supervision due to low performance or skill level</t>
  </si>
  <si>
    <t>After your reporting manager reviews and gives the ratings in green coloured cells, the completed form should be sent to HR (hr@profinch.com)</t>
  </si>
  <si>
    <t>KRA in Specific (if any)</t>
  </si>
  <si>
    <t xml:space="preserve">Please fill the blue coloured cells and send it to respective reporting manager for further review.
</t>
  </si>
  <si>
    <t>Adherence to schedule</t>
  </si>
  <si>
    <t>Adherence to quality standards</t>
  </si>
  <si>
    <t>Training &amp; development of team</t>
  </si>
  <si>
    <t>Timely status reporting</t>
  </si>
  <si>
    <t>Team rapport</t>
  </si>
  <si>
    <t>People management</t>
  </si>
  <si>
    <t>Customer management</t>
  </si>
  <si>
    <t>Conducting interviews</t>
  </si>
  <si>
    <t>Proposal preparation</t>
  </si>
  <si>
    <t>Demos, POCs and Workshops</t>
  </si>
  <si>
    <t>Knowledge sharing</t>
  </si>
  <si>
    <t>Work planning</t>
  </si>
  <si>
    <t>Project management</t>
  </si>
  <si>
    <t>Coordination across work streams</t>
  </si>
  <si>
    <t>Design and solutioning</t>
  </si>
  <si>
    <t>Estimation</t>
  </si>
  <si>
    <t>Cross selling</t>
  </si>
  <si>
    <t>Upselling</t>
  </si>
  <si>
    <t>Mentoring co-workers</t>
  </si>
  <si>
    <t>Taking ownership</t>
  </si>
  <si>
    <t>Vendor management</t>
  </si>
  <si>
    <t>Collateral creation &amp; periodic updates</t>
  </si>
  <si>
    <t xml:space="preserve">Sharing inputs for product features / customization  </t>
  </si>
  <si>
    <t>Repository creation and maintenance</t>
  </si>
  <si>
    <t>Drafting SOWs / Schedules</t>
  </si>
  <si>
    <t>Role Integration</t>
  </si>
  <si>
    <t>Presentation skills</t>
  </si>
  <si>
    <t>Employee Engagement participation</t>
  </si>
  <si>
    <t>Integrate new joiners to Profinch Family</t>
  </si>
  <si>
    <t>Participating in organizational initiatives</t>
  </si>
  <si>
    <t>Self-learning</t>
  </si>
  <si>
    <t>Adherence to Organizational policies &amp; Processes</t>
  </si>
  <si>
    <t>Ability to work in a team</t>
  </si>
  <si>
    <t>Customer relationship</t>
  </si>
  <si>
    <t>Communication and influencing</t>
  </si>
  <si>
    <t>Clarity of Thought</t>
  </si>
  <si>
    <t>Self-Awareness</t>
  </si>
  <si>
    <t>Empathy</t>
  </si>
  <si>
    <t>Proactiveness</t>
  </si>
  <si>
    <t>Positive attitude</t>
  </si>
  <si>
    <t>Temperament</t>
  </si>
  <si>
    <t>Motivating peers</t>
  </si>
  <si>
    <t>Analytical ability</t>
  </si>
  <si>
    <t>Perseverance</t>
  </si>
  <si>
    <t>Initiative</t>
  </si>
  <si>
    <t>Presentability</t>
  </si>
  <si>
    <t>HOD / Group Head 
Rating &amp; Comment:</t>
  </si>
  <si>
    <t>Rating &gt;</t>
  </si>
  <si>
    <t>Comment &gt;</t>
  </si>
  <si>
    <t>Organization Branding Initiatives</t>
  </si>
  <si>
    <t>Sound Domain Knowledge</t>
  </si>
  <si>
    <t>Sound Technical Knowledge</t>
  </si>
  <si>
    <t>Innovations to enhance quality of Deliverables &amp; reduction in Timelines</t>
  </si>
  <si>
    <t>Role</t>
  </si>
  <si>
    <t>Performance Appraisal Form 2020-2021</t>
  </si>
  <si>
    <t>Individual Contributor</t>
  </si>
  <si>
    <t>Appraiser / Manager Name:</t>
  </si>
  <si>
    <t>GUIDELINES FOR FILLING THIS FORM</t>
  </si>
  <si>
    <r>
      <rPr>
        <b/>
        <sz val="10"/>
        <rFont val="Arial"/>
        <family val="2"/>
      </rPr>
      <t>KRA</t>
    </r>
    <r>
      <rPr>
        <sz val="10"/>
        <rFont val="Arial"/>
        <family val="2"/>
      </rPr>
      <t xml:space="preserve">
Specify the KRAs being handled. Use the drop down list to pick KRAs.
If required KRA is not in the list, please mention the same in Column-C under "KRA in Specific (if any)"
</t>
    </r>
    <r>
      <rPr>
        <b/>
        <sz val="10"/>
        <rFont val="Arial"/>
        <family val="2"/>
      </rPr>
      <t>Weightage</t>
    </r>
    <r>
      <rPr>
        <sz val="10"/>
        <rFont val="Arial"/>
        <family val="2"/>
      </rPr>
      <t xml:space="preserve">
There should be a weightage for each KRA. The total weightage of all KRAs should match to 100%
</t>
    </r>
    <r>
      <rPr>
        <b/>
        <sz val="10"/>
        <rFont val="Arial"/>
        <family val="2"/>
      </rPr>
      <t>Target and Achievements</t>
    </r>
    <r>
      <rPr>
        <sz val="10"/>
        <rFont val="Arial"/>
        <family val="2"/>
      </rPr>
      <t xml:space="preserve">
Specify if any. 
If none / Not applicable - leave it blank.
</t>
    </r>
    <r>
      <rPr>
        <b/>
        <sz val="10"/>
        <rFont val="Arial"/>
        <family val="2"/>
      </rPr>
      <t xml:space="preserve">Rating Scale: </t>
    </r>
    <r>
      <rPr>
        <sz val="10"/>
        <rFont val="Arial"/>
        <family val="2"/>
      </rPr>
      <t xml:space="preserve">
- Performance Appraisal is measured on a scale of 1-4:
   Where ratings stand for : </t>
    </r>
    <r>
      <rPr>
        <b/>
        <sz val="10"/>
        <rFont val="Arial"/>
        <family val="2"/>
      </rPr>
      <t xml:space="preserve">1 = Far Short Of Expectations; 2 = Partially Met Expectations; 3 = Fully Met Expectations; 4 = Exceeded Expectations 
   0 if it is Not Applicable. 
</t>
    </r>
    <r>
      <rPr>
        <sz val="10"/>
        <rFont val="Arial"/>
        <family val="2"/>
      </rPr>
      <t>- Please refer to the sheet "Ratings" for more details</t>
    </r>
  </si>
  <si>
    <r>
      <t xml:space="preserve">Read all the Instructions
</t>
    </r>
    <r>
      <rPr>
        <b/>
        <sz val="10"/>
        <color rgb="FFC00000"/>
        <rFont val="Arial"/>
        <family val="2"/>
      </rPr>
      <t xml:space="preserve">
Appraisal Form</t>
    </r>
    <r>
      <rPr>
        <sz val="10"/>
        <rFont val="Arial"/>
        <family val="2"/>
      </rPr>
      <t xml:space="preserve">
- This form covers your Role Based KRAs + Behaviour competency Rating.
- KRAs set by your manager in consensus with you for the period 20-21</t>
    </r>
  </si>
  <si>
    <r>
      <rPr>
        <b/>
        <sz val="10"/>
        <rFont val="Arial"/>
        <family val="2"/>
      </rPr>
      <t xml:space="preserve">Form Filling:
</t>
    </r>
    <r>
      <rPr>
        <sz val="10"/>
        <rFont val="Arial"/>
        <family val="2"/>
      </rPr>
      <t xml:space="preserve">
- </t>
    </r>
    <r>
      <rPr>
        <b/>
        <sz val="10"/>
        <rFont val="Arial"/>
        <family val="2"/>
      </rPr>
      <t>For Self Appraisal</t>
    </r>
    <r>
      <rPr>
        <sz val="10"/>
        <rFont val="Arial"/>
        <family val="2"/>
      </rPr>
      <t xml:space="preserve">: Only Cells shaded blue needs to be filled in.
- </t>
    </r>
    <r>
      <rPr>
        <b/>
        <sz val="10"/>
        <rFont val="Arial"/>
        <family val="2"/>
      </rPr>
      <t>For Manager ratings</t>
    </r>
    <r>
      <rPr>
        <sz val="10"/>
        <rFont val="Arial"/>
        <family val="2"/>
      </rPr>
      <t xml:space="preserve">: Only Cells shaded green needs to be filled in.
Pls note:
- You are restricted to enter details other than the blue colored, and green coloured cells.
- Wherever there is a drop down menu, please use it . 
</t>
    </r>
    <r>
      <rPr>
        <b/>
        <sz val="10"/>
        <rFont val="Arial"/>
        <family val="2"/>
      </rPr>
      <t xml:space="preserve">
</t>
    </r>
    <r>
      <rPr>
        <b/>
        <sz val="10"/>
        <color rgb="FFFF0000"/>
        <rFont val="Arial"/>
        <family val="2"/>
      </rPr>
      <t>IMPORTANT</t>
    </r>
    <r>
      <rPr>
        <b/>
        <sz val="10"/>
        <rFont val="Arial"/>
        <family val="2"/>
      </rPr>
      <t>:</t>
    </r>
    <r>
      <rPr>
        <sz val="10"/>
        <rFont val="Arial"/>
        <family val="2"/>
      </rPr>
      <t xml:space="preserve">
- Use </t>
    </r>
    <r>
      <rPr>
        <b/>
        <u/>
        <sz val="10"/>
        <rFont val="Arial"/>
        <family val="2"/>
      </rPr>
      <t>separate FORMs</t>
    </r>
    <r>
      <rPr>
        <sz val="10"/>
        <rFont val="Arial"/>
        <family val="2"/>
      </rPr>
      <t xml:space="preserve"> for project with different Appraisers / Project Managers for each project. 
- You may use </t>
    </r>
    <r>
      <rPr>
        <b/>
        <u/>
        <sz val="10"/>
        <rFont val="Arial"/>
        <family val="2"/>
      </rPr>
      <t>single FORM</t>
    </r>
    <r>
      <rPr>
        <sz val="10"/>
        <rFont val="Arial"/>
        <family val="2"/>
      </rPr>
      <t xml:space="preserve"> for multiple projects with same Appraiser / Project Manager.</t>
    </r>
  </si>
  <si>
    <t>Nikhat Parveen</t>
  </si>
  <si>
    <t>Software Engg</t>
  </si>
  <si>
    <t>Deepti Mayee Mishra</t>
  </si>
  <si>
    <t>Test Plans,UM.PPT's</t>
  </si>
  <si>
    <t>Timelines for completion</t>
  </si>
  <si>
    <t>UM &amp;PPT</t>
  </si>
  <si>
    <t>Innovations in Testing</t>
  </si>
  <si>
    <t>New ways of testing,Functional knowledge</t>
  </si>
  <si>
    <t>Lead from the front</t>
  </si>
  <si>
    <t>Presentation of PPT's</t>
  </si>
  <si>
    <t>Base Test Plans,Gold copy of testing, Unit test plans</t>
  </si>
  <si>
    <t>Product enhancements/Improvements</t>
  </si>
  <si>
    <t>Banking Knowledge</t>
  </si>
  <si>
    <t xml:space="preserve">Policies </t>
  </si>
  <si>
    <t>Participation</t>
  </si>
  <si>
    <t>Giving coopearion to new joinees</t>
  </si>
  <si>
    <t xml:space="preserve">New Topics </t>
  </si>
  <si>
    <t>Alizz Bank Project</t>
  </si>
  <si>
    <t>Preapared testing related document like test cases and test evidence</t>
  </si>
  <si>
    <t>Uplaoded all my testcases, Test evidence and KT video to sharepoint. Updated the existing test cases as per standard profinch format.</t>
  </si>
  <si>
    <t>Presenting all the identified issue or suggestion infront of team</t>
  </si>
  <si>
    <t>Learnt Banking domain and implement them in project</t>
  </si>
  <si>
    <t>Always followed the organizational policies and all the process like submitting the timesheet on time and complete the project as per organization standard</t>
  </si>
  <si>
    <t>Always participate in employee engagement program like quiz conduct by HR team</t>
  </si>
  <si>
    <t>Completed the all the survey sent by HR team and help them by providing my feedback</t>
  </si>
  <si>
    <t>Shared my knowledge on Finflowz to new resource and make him/her understand the Finflowz workflow. Helped my team in preparing json script as well for Finflowz automation.</t>
  </si>
  <si>
    <t>Able to understand the all the product and project demo with the clearity</t>
  </si>
  <si>
    <t>I have ability to understood the things and work as good team member</t>
  </si>
  <si>
    <t>Able to communicate with the teammate without any hesitation</t>
  </si>
  <si>
    <t>Always ready to take initiative whenever I felt something is required for my team</t>
  </si>
  <si>
    <t>I always motivate my teammate toward their work and help them in completion of their work</t>
  </si>
  <si>
    <t>I always keep positive temperament toward my work</t>
  </si>
  <si>
    <t>I always take up the work proactively and help other teammate also in their work</t>
  </si>
  <si>
    <t>I always present issues or defect or the positive things infront of my team</t>
  </si>
  <si>
    <t xml:space="preserve">Completed the Aliz Project  with Quality before deadline. Prepared quality Test cases, execute the testcases and prepared test evidence with quality. Learning the Automation and autmate the Finflowz application by creating the json script. </t>
  </si>
  <si>
    <t xml:space="preserve">Completed the Alizz project before deadline.  </t>
  </si>
  <si>
    <t>Completed my assigned module  and lead from front.</t>
  </si>
  <si>
    <t xml:space="preserve">Always highlighted the issue of Finflowz product infront of team member. </t>
  </si>
  <si>
    <t>Help new joiner by giving KT on product and make him/her understand the organizational process and policies.</t>
  </si>
  <si>
    <t>I always analyse the product and application, which helps me in doing my work more effectively</t>
  </si>
  <si>
    <t>Working on different types of project by keeping positive attitude</t>
  </si>
  <si>
    <t>Learned automation and automate the finflowz application by preparing  json script which will quality testing in reduced time.</t>
  </si>
  <si>
    <t>Always completes assigned task on time</t>
  </si>
  <si>
    <t>Strictly follows the time and even work for extra hour to complete the work</t>
  </si>
  <si>
    <t>Maintains the test evidence and test plan in shared path</t>
  </si>
  <si>
    <t>Can come up with ideas to improve the work</t>
  </si>
  <si>
    <t>Given KT to new joinees</t>
  </si>
  <si>
    <t xml:space="preserve">Need to take leadership </t>
  </si>
  <si>
    <t>Needs to improve the presentation skills</t>
  </si>
  <si>
    <t xml:space="preserve">Always maintained the documents </t>
  </si>
  <si>
    <t>Need to focus on product while testing so that can come with ideas to improve</t>
  </si>
  <si>
    <t>Strong domain knowledge</t>
  </si>
  <si>
    <t xml:space="preserve">Follows all the policies </t>
  </si>
  <si>
    <t>Always participated</t>
  </si>
  <si>
    <t>Helped new joiners to get familiar with the process</t>
  </si>
  <si>
    <t xml:space="preserve">Always been active in completing </t>
  </si>
  <si>
    <t>Great team player</t>
  </si>
  <si>
    <t>Understands well the allocated task</t>
  </si>
  <si>
    <t>Able to take issues with dev team and resolve it</t>
  </si>
  <si>
    <t>Always a keen learner</t>
  </si>
  <si>
    <t>Helps and guides other team members</t>
  </si>
  <si>
    <t>Always takes feedback positively and impliments the same</t>
  </si>
  <si>
    <t>Very calm and focused</t>
  </si>
  <si>
    <t>Needs to improve the analytical ability</t>
  </si>
  <si>
    <t>Completes the work work allocated very fast</t>
  </si>
  <si>
    <t>Good in explaining the defects to team members</t>
  </si>
  <si>
    <t>Enthutiastic  learner</t>
  </si>
  <si>
    <t xml:space="preserve">Hardworking, Dedicated, lots of patience, Puts extra effort in learning. Needs to improve the analytical skills.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</si>
</sst>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mmm/yyyy"/>
    <numFmt numFmtId="166" formatCode="[$-14009]dd\ mmmm\ yyyy;@"/>
  </numFmts>
  <fonts count="38" x14ac:knownFonts="1">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4"/>
      <color theme="1"/>
      <name val="Calibri"/>
      <family val="2"/>
      <scheme val="minor"/>
    </font>
    <font>
      <u/>
      <sz val="11"/>
      <color theme="10"/>
      <name val="Calibri"/>
      <family val="2"/>
      <scheme val="minor"/>
    </font>
    <font>
      <u/>
      <sz val="11"/>
      <color theme="11"/>
      <name val="Calibri"/>
      <family val="2"/>
      <scheme val="minor"/>
    </font>
    <font>
      <sz val="14"/>
      <color theme="1"/>
      <name val="Calibri"/>
      <family val="2"/>
      <scheme val="minor"/>
    </font>
    <font>
      <sz val="14"/>
      <color theme="0"/>
      <name val="Calibri"/>
      <family val="2"/>
      <scheme val="minor"/>
    </font>
    <font>
      <sz val="14"/>
      <color rgb="FFFF0000"/>
      <name val="Calibri"/>
      <family val="2"/>
      <scheme val="minor"/>
    </font>
    <font>
      <sz val="14"/>
      <name val="Calibri"/>
      <family val="2"/>
      <scheme val="minor"/>
    </font>
    <font>
      <sz val="9"/>
      <color indexed="81"/>
      <name val="Tahoma"/>
      <family val="2"/>
    </font>
    <font>
      <b/>
      <sz val="9"/>
      <color indexed="81"/>
      <name val="Tahoma"/>
      <family val="2"/>
    </font>
    <font>
      <sz val="11"/>
      <color theme="0"/>
      <name val="Calibri"/>
      <family val="2"/>
      <scheme val="minor"/>
    </font>
    <font>
      <b/>
      <sz val="36"/>
      <color theme="1"/>
      <name val="Calibri"/>
      <family val="2"/>
      <scheme val="minor"/>
    </font>
    <font>
      <sz val="36"/>
      <color theme="1"/>
      <name val="Calibri"/>
      <family val="2"/>
      <scheme val="minor"/>
    </font>
    <font>
      <b/>
      <sz val="24"/>
      <color theme="0"/>
      <name val="Calibri"/>
      <family val="2"/>
      <scheme val="minor"/>
    </font>
    <font>
      <sz val="14"/>
      <color theme="5" tint="-0.499984740745262"/>
      <name val="Calibri"/>
      <family val="2"/>
      <scheme val="minor"/>
    </font>
    <font>
      <sz val="11"/>
      <color theme="0" tint="-0.34998626667073579"/>
      <name val="Calibri"/>
      <family val="2"/>
      <scheme val="minor"/>
    </font>
    <font>
      <b/>
      <sz val="14"/>
      <name val="Calibri"/>
      <family val="2"/>
      <scheme val="minor"/>
    </font>
    <font>
      <sz val="11"/>
      <name val="Calibri"/>
      <family val="2"/>
      <scheme val="minor"/>
    </font>
    <font>
      <b/>
      <sz val="12"/>
      <color theme="1"/>
      <name val="Calibri"/>
      <family val="2"/>
      <scheme val="minor"/>
    </font>
    <font>
      <sz val="12"/>
      <color theme="1"/>
      <name val="Calibri"/>
      <family val="2"/>
      <scheme val="minor"/>
    </font>
    <font>
      <sz val="11"/>
      <color rgb="FFFF0000"/>
      <name val="Calibri"/>
      <family val="2"/>
      <scheme val="minor"/>
    </font>
    <font>
      <sz val="10"/>
      <color rgb="FFFF0000"/>
      <name val="Arial"/>
      <family val="2"/>
    </font>
    <font>
      <b/>
      <sz val="10"/>
      <color rgb="FFFF0000"/>
      <name val="Arial"/>
      <family val="2"/>
    </font>
    <font>
      <b/>
      <sz val="14"/>
      <color rgb="FFFF0000"/>
      <name val="Calibri"/>
      <family val="2"/>
      <scheme val="minor"/>
    </font>
    <font>
      <b/>
      <sz val="14"/>
      <color rgb="FF0070C0"/>
      <name val="Calibri"/>
      <family val="2"/>
      <scheme val="minor"/>
    </font>
    <font>
      <b/>
      <sz val="12"/>
      <name val="Calibri"/>
      <family val="2"/>
      <scheme val="minor"/>
    </font>
    <font>
      <b/>
      <sz val="12"/>
      <color theme="0"/>
      <name val="Calibri"/>
      <family val="2"/>
      <scheme val="minor"/>
    </font>
    <font>
      <b/>
      <sz val="36"/>
      <color rgb="FF0070C0"/>
      <name val="Calibri"/>
      <family val="2"/>
      <scheme val="minor"/>
    </font>
    <font>
      <b/>
      <sz val="10"/>
      <name val="Arial"/>
      <family val="2"/>
    </font>
    <font>
      <b/>
      <sz val="10"/>
      <color rgb="FFC00000"/>
      <name val="Arial"/>
      <family val="2"/>
    </font>
    <font>
      <b/>
      <u/>
      <sz val="10"/>
      <name val="Arial"/>
      <family val="2"/>
    </font>
    <font>
      <b/>
      <sz val="20"/>
      <color rgb="FF0070C0"/>
      <name val="Calibri"/>
      <family val="2"/>
      <scheme val="minor"/>
    </font>
    <font>
      <sz val="20"/>
      <color rgb="FF0070C0"/>
      <name val="Calibri"/>
      <family val="2"/>
      <scheme val="minor"/>
    </font>
    <font>
      <b/>
      <sz val="24"/>
      <color rgb="FF0070C0"/>
      <name val="Calibri"/>
      <family val="2"/>
      <scheme val="minor"/>
    </font>
  </fonts>
  <fills count="10">
    <fill>
      <patternFill patternType="none"/>
    </fill>
    <fill>
      <patternFill patternType="gray125"/>
    </fill>
    <fill>
      <patternFill patternType="solid">
        <fgColor theme="5"/>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1"/>
        <bgColor indexed="64"/>
      </patternFill>
    </fill>
    <fill>
      <patternFill patternType="solid">
        <fgColor theme="0" tint="-0.249977111117893"/>
        <bgColor indexed="64"/>
      </patternFill>
    </fill>
  </fills>
  <borders count="44">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auto="1"/>
      </top>
      <bottom style="medium">
        <color indexed="64"/>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thin">
        <color auto="1"/>
      </left>
      <right/>
      <top style="medium">
        <color auto="1"/>
      </top>
      <bottom style="medium">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thin">
        <color auto="1"/>
      </top>
      <bottom/>
      <diagonal/>
    </border>
    <border>
      <left style="thin">
        <color auto="1"/>
      </left>
      <right/>
      <top style="medium">
        <color auto="1"/>
      </top>
      <bottom/>
      <diagonal/>
    </border>
    <border>
      <left/>
      <right style="medium">
        <color auto="1"/>
      </right>
      <top style="thin">
        <color auto="1"/>
      </top>
      <bottom style="medium">
        <color auto="1"/>
      </bottom>
      <diagonal/>
    </border>
  </borders>
  <cellStyleXfs count="8">
    <xf numFmtId="0" fontId="0" fillId="0" borderId="0"/>
    <xf numFmtId="0" fontId="2" fillId="0" borderId="0"/>
    <xf numFmtId="0" fontId="1"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cellStyleXfs>
  <cellXfs count="173">
    <xf numFmtId="0" fontId="0" fillId="0" borderId="0" xfId="0"/>
    <xf numFmtId="0" fontId="4" fillId="0" borderId="0" xfId="0" applyFont="1"/>
    <xf numFmtId="0" fontId="5" fillId="0" borderId="0" xfId="0" applyFont="1"/>
    <xf numFmtId="0" fontId="5" fillId="0" borderId="0" xfId="0" applyFont="1" applyAlignment="1">
      <alignment horizontal="center"/>
    </xf>
    <xf numFmtId="0" fontId="4" fillId="0" borderId="13" xfId="0" applyFont="1" applyBorder="1"/>
    <xf numFmtId="0" fontId="5" fillId="3" borderId="11" xfId="0" applyFont="1" applyFill="1" applyBorder="1" applyProtection="1">
      <protection locked="0"/>
    </xf>
    <xf numFmtId="0" fontId="9" fillId="0" borderId="0" xfId="0" applyFont="1"/>
    <xf numFmtId="0" fontId="8" fillId="0" borderId="0" xfId="0" applyFont="1"/>
    <xf numFmtId="0" fontId="9" fillId="0" borderId="0" xfId="0" applyFont="1" applyAlignment="1">
      <alignment horizontal="center"/>
    </xf>
    <xf numFmtId="0" fontId="4" fillId="0" borderId="0" xfId="0" applyFont="1" applyAlignment="1">
      <alignment horizontal="center" vertical="center"/>
    </xf>
    <xf numFmtId="0" fontId="4" fillId="0" borderId="7" xfId="0" applyFont="1" applyBorder="1"/>
    <xf numFmtId="0" fontId="11" fillId="0" borderId="0" xfId="0" applyFont="1"/>
    <xf numFmtId="0" fontId="5" fillId="4" borderId="0" xfId="0" applyFont="1" applyFill="1" applyAlignment="1">
      <alignment horizontal="center"/>
    </xf>
    <xf numFmtId="0" fontId="14" fillId="0" borderId="0" xfId="0" applyFont="1"/>
    <xf numFmtId="0" fontId="0" fillId="4" borderId="0" xfId="0" applyFill="1"/>
    <xf numFmtId="0" fontId="4" fillId="0" borderId="8" xfId="0" applyFont="1" applyBorder="1" applyAlignment="1">
      <alignment horizontal="center" vertical="center" wrapText="1"/>
    </xf>
    <xf numFmtId="0" fontId="8" fillId="0" borderId="8" xfId="0" applyFont="1" applyBorder="1" applyAlignment="1">
      <alignment horizontal="center" vertical="center" wrapText="1"/>
    </xf>
    <xf numFmtId="0" fontId="4" fillId="0" borderId="9" xfId="0" applyFont="1" applyBorder="1" applyAlignment="1">
      <alignment horizontal="center" vertical="center" wrapText="1"/>
    </xf>
    <xf numFmtId="10" fontId="5" fillId="0" borderId="5" xfId="7" applyNumberFormat="1" applyFont="1" applyBorder="1" applyAlignment="1">
      <alignment horizontal="center"/>
    </xf>
    <xf numFmtId="9" fontId="5" fillId="0" borderId="14" xfId="7" applyFont="1" applyBorder="1" applyAlignment="1">
      <alignment horizontal="center"/>
    </xf>
    <xf numFmtId="0" fontId="4" fillId="0" borderId="14" xfId="0" applyFont="1" applyBorder="1" applyAlignment="1">
      <alignment horizontal="right"/>
    </xf>
    <xf numFmtId="2" fontId="5" fillId="0" borderId="11" xfId="0" applyNumberFormat="1" applyFont="1" applyBorder="1" applyAlignment="1">
      <alignment horizontal="center"/>
    </xf>
    <xf numFmtId="2" fontId="5" fillId="0" borderId="12" xfId="0" applyNumberFormat="1" applyFont="1" applyBorder="1" applyAlignment="1">
      <alignment horizontal="center"/>
    </xf>
    <xf numFmtId="2" fontId="4" fillId="5" borderId="14" xfId="0" applyNumberFormat="1" applyFont="1" applyFill="1" applyBorder="1" applyAlignment="1">
      <alignment horizontal="center"/>
    </xf>
    <xf numFmtId="2" fontId="4" fillId="5" borderId="15" xfId="0" applyNumberFormat="1" applyFont="1" applyFill="1" applyBorder="1" applyAlignment="1">
      <alignment horizontal="center"/>
    </xf>
    <xf numFmtId="2" fontId="4" fillId="7" borderId="14" xfId="0" applyNumberFormat="1" applyFont="1" applyFill="1" applyBorder="1" applyAlignment="1">
      <alignment horizontal="center"/>
    </xf>
    <xf numFmtId="2" fontId="4" fillId="7" borderId="15" xfId="0" applyNumberFormat="1" applyFont="1" applyFill="1" applyBorder="1" applyAlignment="1">
      <alignment horizontal="center"/>
    </xf>
    <xf numFmtId="2" fontId="4" fillId="5" borderId="8" xfId="0" applyNumberFormat="1" applyFont="1" applyFill="1" applyBorder="1" applyAlignment="1">
      <alignment horizontal="center"/>
    </xf>
    <xf numFmtId="2" fontId="4" fillId="5" borderId="9" xfId="0" applyNumberFormat="1" applyFont="1" applyFill="1" applyBorder="1" applyAlignment="1">
      <alignment horizontal="center"/>
    </xf>
    <xf numFmtId="2" fontId="4" fillId="7" borderId="11" xfId="0" applyNumberFormat="1" applyFont="1" applyFill="1" applyBorder="1" applyAlignment="1">
      <alignment horizontal="center"/>
    </xf>
    <xf numFmtId="2" fontId="4" fillId="7" borderId="12" xfId="0" applyNumberFormat="1" applyFont="1" applyFill="1" applyBorder="1" applyAlignment="1">
      <alignment horizontal="center"/>
    </xf>
    <xf numFmtId="2" fontId="17" fillId="8" borderId="14" xfId="0" applyNumberFormat="1" applyFont="1" applyFill="1" applyBorder="1" applyAlignment="1">
      <alignment horizontal="center"/>
    </xf>
    <xf numFmtId="2" fontId="17" fillId="8" borderId="15" xfId="0" applyNumberFormat="1" applyFont="1" applyFill="1" applyBorder="1" applyAlignment="1">
      <alignment horizontal="center"/>
    </xf>
    <xf numFmtId="0" fontId="5" fillId="6" borderId="11" xfId="0" applyFont="1" applyFill="1" applyBorder="1" applyProtection="1">
      <protection locked="0"/>
    </xf>
    <xf numFmtId="0" fontId="4" fillId="0" borderId="8" xfId="0" applyFont="1" applyBorder="1"/>
    <xf numFmtId="0" fontId="4" fillId="0" borderId="8" xfId="0" applyFont="1" applyBorder="1" applyAlignment="1">
      <alignment horizontal="right"/>
    </xf>
    <xf numFmtId="0" fontId="4" fillId="0" borderId="7" xfId="0" applyFont="1" applyBorder="1" applyAlignment="1">
      <alignment horizontal="center" vertical="center"/>
    </xf>
    <xf numFmtId="49" fontId="4" fillId="0" borderId="8" xfId="0" applyNumberFormat="1" applyFont="1" applyBorder="1" applyAlignment="1">
      <alignment horizontal="center" vertical="center" wrapText="1"/>
    </xf>
    <xf numFmtId="0" fontId="18" fillId="0" borderId="0" xfId="0" applyFont="1"/>
    <xf numFmtId="0" fontId="5" fillId="3" borderId="11" xfId="0" applyFont="1" applyFill="1" applyBorder="1" applyAlignment="1" applyProtection="1">
      <alignment vertical="center"/>
      <protection locked="0"/>
    </xf>
    <xf numFmtId="0" fontId="5" fillId="3" borderId="11" xfId="0" applyFont="1" applyFill="1" applyBorder="1" applyAlignment="1" applyProtection="1">
      <alignment horizontal="center" vertical="center"/>
      <protection locked="0"/>
    </xf>
    <xf numFmtId="0" fontId="5" fillId="6" borderId="11" xfId="0" applyFont="1" applyFill="1" applyBorder="1" applyAlignment="1" applyProtection="1">
      <alignment vertical="center"/>
      <protection locked="0"/>
    </xf>
    <xf numFmtId="0" fontId="5" fillId="6" borderId="11" xfId="0" applyFont="1" applyFill="1" applyBorder="1" applyAlignment="1" applyProtection="1">
      <alignment horizontal="center" vertical="center"/>
      <protection locked="0"/>
    </xf>
    <xf numFmtId="2" fontId="5" fillId="0" borderId="11" xfId="0" applyNumberFormat="1" applyFont="1" applyBorder="1" applyAlignment="1">
      <alignment horizontal="center" vertical="center"/>
    </xf>
    <xf numFmtId="2" fontId="5" fillId="0" borderId="12" xfId="0" applyNumberFormat="1" applyFont="1" applyBorder="1" applyAlignment="1">
      <alignment horizontal="center" vertical="center"/>
    </xf>
    <xf numFmtId="0" fontId="4" fillId="4" borderId="0" xfId="0" applyFont="1" applyFill="1"/>
    <xf numFmtId="0" fontId="5" fillId="4" borderId="0" xfId="0" applyFont="1" applyFill="1"/>
    <xf numFmtId="0" fontId="19" fillId="0" borderId="0" xfId="0" applyFont="1"/>
    <xf numFmtId="0" fontId="23" fillId="0" borderId="13" xfId="2" quotePrefix="1" applyFont="1" applyBorder="1" applyAlignment="1">
      <alignment vertical="top" wrapText="1"/>
    </xf>
    <xf numFmtId="0" fontId="23" fillId="0" borderId="14" xfId="2" quotePrefix="1" applyFont="1" applyBorder="1" applyAlignment="1">
      <alignment vertical="top" wrapText="1"/>
    </xf>
    <xf numFmtId="0" fontId="23" fillId="0" borderId="15" xfId="2" quotePrefix="1" applyFont="1" applyBorder="1" applyAlignment="1">
      <alignment vertical="top" wrapText="1"/>
    </xf>
    <xf numFmtId="0" fontId="25" fillId="0" borderId="0" xfId="0" applyFont="1"/>
    <xf numFmtId="165" fontId="25" fillId="0" borderId="0" xfId="0" applyNumberFormat="1" applyFont="1"/>
    <xf numFmtId="15" fontId="25" fillId="0" borderId="0" xfId="0" applyNumberFormat="1" applyFont="1"/>
    <xf numFmtId="0" fontId="24" fillId="0" borderId="0" xfId="0" applyFont="1"/>
    <xf numFmtId="165" fontId="24" fillId="0" borderId="0" xfId="0" applyNumberFormat="1" applyFont="1"/>
    <xf numFmtId="0" fontId="25" fillId="0" borderId="0" xfId="0" applyFont="1" applyAlignment="1">
      <alignment vertical="center"/>
    </xf>
    <xf numFmtId="165" fontId="25" fillId="0" borderId="0" xfId="0" applyNumberFormat="1" applyFont="1" applyAlignment="1">
      <alignment vertical="center"/>
    </xf>
    <xf numFmtId="0" fontId="26" fillId="0" borderId="0" xfId="0" applyFont="1" applyAlignment="1">
      <alignment wrapText="1"/>
    </xf>
    <xf numFmtId="0" fontId="5" fillId="3" borderId="8" xfId="0" applyFont="1" applyFill="1" applyBorder="1" applyAlignment="1" applyProtection="1">
      <alignment horizontal="left"/>
      <protection locked="0"/>
    </xf>
    <xf numFmtId="0" fontId="4" fillId="0" borderId="17" xfId="0" applyFont="1" applyBorder="1" applyAlignment="1">
      <alignment horizontal="center" vertical="center"/>
    </xf>
    <xf numFmtId="0" fontId="5" fillId="6" borderId="14" xfId="0" applyFont="1" applyFill="1" applyBorder="1" applyAlignment="1" applyProtection="1">
      <protection locked="0"/>
    </xf>
    <xf numFmtId="9" fontId="5" fillId="6" borderId="11" xfId="7" applyFont="1" applyFill="1" applyBorder="1" applyAlignment="1" applyProtection="1">
      <alignment horizontal="center"/>
      <protection locked="0"/>
    </xf>
    <xf numFmtId="0" fontId="4" fillId="0" borderId="20" xfId="0" applyFont="1" applyBorder="1"/>
    <xf numFmtId="0" fontId="5" fillId="6" borderId="15" xfId="0" applyFont="1" applyFill="1" applyBorder="1" applyAlignment="1" applyProtection="1">
      <protection locked="0"/>
    </xf>
    <xf numFmtId="0" fontId="4" fillId="0" borderId="41" xfId="0" applyFont="1" applyBorder="1"/>
    <xf numFmtId="0" fontId="5" fillId="0" borderId="40" xfId="0" applyFont="1" applyBorder="1" applyAlignment="1"/>
    <xf numFmtId="0" fontId="5" fillId="0" borderId="19" xfId="0" applyFont="1" applyBorder="1" applyAlignment="1"/>
    <xf numFmtId="0" fontId="5" fillId="6" borderId="24" xfId="0" applyFont="1" applyFill="1" applyBorder="1" applyAlignment="1" applyProtection="1">
      <alignment horizontal="center" vertical="center"/>
      <protection locked="0"/>
    </xf>
    <xf numFmtId="0" fontId="4" fillId="6" borderId="14" xfId="0" applyFont="1" applyFill="1" applyBorder="1" applyAlignment="1" applyProtection="1">
      <protection locked="0"/>
    </xf>
    <xf numFmtId="0" fontId="10" fillId="0" borderId="0" xfId="0" applyFont="1" applyAlignment="1">
      <alignment horizontal="center" vertical="center"/>
    </xf>
    <xf numFmtId="0" fontId="27" fillId="0" borderId="0" xfId="0" applyFont="1"/>
    <xf numFmtId="0" fontId="10" fillId="0" borderId="0" xfId="0" applyFont="1"/>
    <xf numFmtId="0" fontId="9" fillId="0" borderId="0" xfId="0" applyFont="1" applyAlignment="1">
      <alignment horizontal="center" vertical="center"/>
    </xf>
    <xf numFmtId="164" fontId="9" fillId="0" borderId="0" xfId="0" applyNumberFormat="1" applyFont="1" applyAlignment="1">
      <alignment horizontal="center"/>
    </xf>
    <xf numFmtId="0" fontId="14" fillId="0" borderId="0" xfId="0" applyFont="1" applyAlignment="1">
      <alignment horizontal="left" vertical="center" indent="2"/>
    </xf>
    <xf numFmtId="0" fontId="14" fillId="0" borderId="0" xfId="0" applyFont="1" applyAlignment="1">
      <alignment horizontal="left" vertical="center" indent="5"/>
    </xf>
    <xf numFmtId="0" fontId="4" fillId="0" borderId="37" xfId="0" applyFont="1" applyBorder="1" applyAlignment="1">
      <alignment horizontal="center" vertical="center" wrapText="1"/>
    </xf>
    <xf numFmtId="0" fontId="8" fillId="6" borderId="10" xfId="0" applyFont="1" applyFill="1" applyBorder="1" applyAlignment="1" applyProtection="1">
      <alignment horizontal="left" vertical="center"/>
    </xf>
    <xf numFmtId="0" fontId="5" fillId="6" borderId="26" xfId="0" applyFont="1" applyFill="1" applyBorder="1" applyAlignment="1" applyProtection="1">
      <alignment horizontal="center" vertical="center"/>
      <protection locked="0"/>
    </xf>
    <xf numFmtId="0" fontId="5" fillId="0" borderId="23" xfId="0" applyFont="1" applyBorder="1" applyAlignment="1"/>
    <xf numFmtId="0" fontId="29" fillId="2" borderId="9" xfId="2" applyFont="1" applyFill="1" applyBorder="1" applyAlignment="1">
      <alignment horizontal="center" vertical="center"/>
    </xf>
    <xf numFmtId="0" fontId="29" fillId="2" borderId="8" xfId="2" applyFont="1" applyFill="1" applyBorder="1" applyAlignment="1">
      <alignment horizontal="center" vertical="center"/>
    </xf>
    <xf numFmtId="0" fontId="29" fillId="2" borderId="7" xfId="2" applyFont="1" applyFill="1" applyBorder="1" applyAlignment="1">
      <alignment horizontal="center" vertical="center"/>
    </xf>
    <xf numFmtId="0" fontId="30" fillId="2" borderId="12" xfId="2" applyFont="1" applyFill="1" applyBorder="1" applyAlignment="1">
      <alignment horizontal="center" vertical="center"/>
    </xf>
    <xf numFmtId="0" fontId="30" fillId="2" borderId="11" xfId="2" applyFont="1" applyFill="1" applyBorder="1" applyAlignment="1">
      <alignment horizontal="center" vertical="center"/>
    </xf>
    <xf numFmtId="0" fontId="30" fillId="2" borderId="10" xfId="2" applyFont="1" applyFill="1" applyBorder="1" applyAlignment="1">
      <alignment horizontal="center" vertical="center"/>
    </xf>
    <xf numFmtId="0" fontId="5" fillId="6" borderId="10" xfId="0" applyFont="1" applyFill="1" applyBorder="1" applyAlignment="1" applyProtection="1">
      <alignment horizontal="left" vertical="center"/>
    </xf>
    <xf numFmtId="0" fontId="4" fillId="9" borderId="8" xfId="0" applyFont="1" applyFill="1" applyBorder="1" applyAlignment="1">
      <alignment horizontal="center" vertical="center" wrapText="1"/>
    </xf>
    <xf numFmtId="0" fontId="5" fillId="6" borderId="10" xfId="0" applyFont="1" applyFill="1" applyBorder="1" applyAlignment="1" applyProtection="1">
      <alignment horizontal="center" vertical="center"/>
      <protection locked="0"/>
    </xf>
    <xf numFmtId="10" fontId="5" fillId="6" borderId="11" xfId="7" applyNumberFormat="1" applyFont="1" applyFill="1" applyBorder="1" applyAlignment="1" applyProtection="1">
      <alignment horizontal="center" vertical="center"/>
      <protection locked="0"/>
    </xf>
    <xf numFmtId="0" fontId="5" fillId="3" borderId="11" xfId="0" applyFont="1" applyFill="1" applyBorder="1" applyAlignment="1" applyProtection="1">
      <alignment vertical="center" wrapText="1"/>
      <protection locked="0"/>
    </xf>
    <xf numFmtId="0" fontId="2" fillId="0" borderId="13" xfId="0" quotePrefix="1" applyFont="1" applyBorder="1" applyAlignment="1">
      <alignment horizontal="left" vertical="center" wrapText="1" indent="2"/>
    </xf>
    <xf numFmtId="0" fontId="2" fillId="0" borderId="14" xfId="0" applyFont="1" applyBorder="1" applyAlignment="1">
      <alignment horizontal="left" vertical="center" wrapText="1" indent="2"/>
    </xf>
    <xf numFmtId="0" fontId="2" fillId="0" borderId="15" xfId="0" applyFont="1" applyBorder="1" applyAlignment="1">
      <alignment horizontal="left" vertical="center" wrapText="1" indent="2"/>
    </xf>
    <xf numFmtId="0" fontId="28" fillId="4" borderId="7" xfId="1" applyFont="1" applyFill="1" applyBorder="1" applyAlignment="1">
      <alignment horizontal="right" vertical="center" wrapText="1"/>
    </xf>
    <xf numFmtId="0" fontId="20" fillId="4" borderId="8" xfId="1" applyFont="1" applyFill="1" applyBorder="1" applyAlignment="1">
      <alignment horizontal="right" vertical="center" wrapText="1"/>
    </xf>
    <xf numFmtId="0" fontId="20" fillId="4" borderId="9" xfId="1" applyFont="1" applyFill="1" applyBorder="1" applyAlignment="1">
      <alignment horizontal="right" vertical="center" wrapText="1"/>
    </xf>
    <xf numFmtId="0" fontId="2" fillId="0" borderId="10" xfId="0" quotePrefix="1" applyFont="1" applyBorder="1" applyAlignment="1">
      <alignment horizontal="left" vertical="center" wrapText="1" indent="2"/>
    </xf>
    <xf numFmtId="0" fontId="21" fillId="0" borderId="11" xfId="0" applyFont="1" applyBorder="1" applyAlignment="1">
      <alignment horizontal="left" vertical="center" wrapText="1" indent="2"/>
    </xf>
    <xf numFmtId="0" fontId="21" fillId="0" borderId="12" xfId="0" applyFont="1" applyBorder="1" applyAlignment="1">
      <alignment horizontal="left" vertical="center" wrapText="1" indent="2"/>
    </xf>
    <xf numFmtId="0" fontId="2" fillId="0" borderId="11" xfId="0" applyFont="1" applyBorder="1" applyAlignment="1">
      <alignment horizontal="left" vertical="center" wrapText="1" indent="2"/>
    </xf>
    <xf numFmtId="0" fontId="2" fillId="0" borderId="12" xfId="0" applyFont="1" applyBorder="1" applyAlignment="1">
      <alignment horizontal="left" vertical="center" wrapText="1" indent="2"/>
    </xf>
    <xf numFmtId="0" fontId="22" fillId="2" borderId="27" xfId="2" applyFont="1" applyFill="1" applyBorder="1" applyAlignment="1">
      <alignment horizontal="center" vertical="center"/>
    </xf>
    <xf numFmtId="0" fontId="22" fillId="2" borderId="28" xfId="2" applyFont="1" applyFill="1" applyBorder="1" applyAlignment="1">
      <alignment horizontal="center" vertical="center"/>
    </xf>
    <xf numFmtId="0" fontId="22" fillId="2" borderId="29" xfId="2" applyFont="1" applyFill="1" applyBorder="1" applyAlignment="1">
      <alignment horizontal="center" vertical="center"/>
    </xf>
    <xf numFmtId="0" fontId="31" fillId="4" borderId="16" xfId="0" applyFont="1" applyFill="1" applyBorder="1" applyAlignment="1">
      <alignment horizontal="right" vertical="center"/>
    </xf>
    <xf numFmtId="0" fontId="15" fillId="4" borderId="17" xfId="0" applyFont="1" applyFill="1" applyBorder="1" applyAlignment="1">
      <alignment horizontal="right" vertical="center"/>
    </xf>
    <xf numFmtId="0" fontId="16" fillId="4" borderId="17" xfId="0" applyFont="1" applyFill="1" applyBorder="1" applyAlignment="1">
      <alignment horizontal="right" vertical="center"/>
    </xf>
    <xf numFmtId="0" fontId="16" fillId="4" borderId="18" xfId="0" applyFont="1" applyFill="1" applyBorder="1" applyAlignment="1">
      <alignment horizontal="right" vertical="center"/>
    </xf>
    <xf numFmtId="0" fontId="35" fillId="0" borderId="1" xfId="0" applyFont="1" applyBorder="1" applyAlignment="1">
      <alignment horizontal="center" vertical="center"/>
    </xf>
    <xf numFmtId="0" fontId="35" fillId="0" borderId="2" xfId="0" applyFont="1" applyBorder="1" applyAlignment="1">
      <alignment horizontal="center" vertical="center"/>
    </xf>
    <xf numFmtId="0" fontId="36" fillId="0" borderId="2" xfId="0" applyFont="1" applyBorder="1" applyAlignment="1">
      <alignment horizontal="center" vertical="center"/>
    </xf>
    <xf numFmtId="0" fontId="36" fillId="0" borderId="2" xfId="0" applyFont="1" applyBorder="1"/>
    <xf numFmtId="0" fontId="36" fillId="0" borderId="3" xfId="0" applyFont="1" applyBorder="1"/>
    <xf numFmtId="0" fontId="36" fillId="0" borderId="4" xfId="0" applyFont="1" applyBorder="1" applyAlignment="1">
      <alignment horizontal="center" vertical="center"/>
    </xf>
    <xf numFmtId="0" fontId="36" fillId="0" borderId="5" xfId="0" applyFont="1" applyBorder="1" applyAlignment="1">
      <alignment horizontal="center" vertical="center"/>
    </xf>
    <xf numFmtId="0" fontId="36" fillId="0" borderId="5" xfId="0" applyFont="1" applyBorder="1"/>
    <xf numFmtId="0" fontId="36" fillId="0" borderId="6" xfId="0" applyFont="1" applyBorder="1"/>
    <xf numFmtId="166" fontId="5" fillId="3" borderId="31" xfId="0" applyNumberFormat="1" applyFont="1" applyFill="1" applyBorder="1" applyAlignment="1" applyProtection="1">
      <alignment horizontal="left"/>
      <protection locked="0"/>
    </xf>
    <xf numFmtId="166" fontId="5" fillId="3" borderId="32" xfId="0" applyNumberFormat="1" applyFont="1" applyFill="1" applyBorder="1" applyAlignment="1" applyProtection="1">
      <alignment horizontal="left"/>
      <protection locked="0"/>
    </xf>
    <xf numFmtId="0" fontId="5" fillId="4" borderId="7" xfId="0" applyFont="1" applyFill="1" applyBorder="1" applyAlignment="1" applyProtection="1">
      <alignment horizontal="left"/>
    </xf>
    <xf numFmtId="0" fontId="5" fillId="4" borderId="8" xfId="0" applyFont="1" applyFill="1" applyBorder="1" applyAlignment="1" applyProtection="1">
      <alignment horizontal="left"/>
    </xf>
    <xf numFmtId="0" fontId="5" fillId="3" borderId="31" xfId="0" applyFont="1" applyFill="1" applyBorder="1" applyAlignment="1" applyProtection="1">
      <alignment horizontal="left"/>
      <protection locked="0"/>
    </xf>
    <xf numFmtId="0" fontId="5" fillId="3" borderId="35" xfId="0" applyFont="1" applyFill="1" applyBorder="1" applyAlignment="1" applyProtection="1">
      <alignment horizontal="left"/>
      <protection locked="0"/>
    </xf>
    <xf numFmtId="0" fontId="5" fillId="3" borderId="25" xfId="0" applyFont="1" applyFill="1" applyBorder="1" applyAlignment="1" applyProtection="1">
      <alignment horizontal="left"/>
      <protection locked="0"/>
    </xf>
    <xf numFmtId="0" fontId="5" fillId="6" borderId="39" xfId="0" applyFont="1" applyFill="1" applyBorder="1" applyAlignment="1" applyProtection="1">
      <alignment horizontal="left"/>
      <protection locked="0"/>
    </xf>
    <xf numFmtId="0" fontId="5" fillId="6" borderId="40" xfId="0" applyFont="1" applyFill="1" applyBorder="1" applyAlignment="1" applyProtection="1">
      <alignment horizontal="left"/>
      <protection locked="0"/>
    </xf>
    <xf numFmtId="0" fontId="5" fillId="6" borderId="19" xfId="0" applyFont="1" applyFill="1" applyBorder="1" applyAlignment="1" applyProtection="1">
      <alignment horizontal="left"/>
      <protection locked="0"/>
    </xf>
    <xf numFmtId="9" fontId="5" fillId="4" borderId="8" xfId="7" applyFont="1" applyFill="1" applyBorder="1" applyAlignment="1" applyProtection="1">
      <alignment horizontal="center"/>
    </xf>
    <xf numFmtId="9" fontId="5" fillId="4" borderId="9" xfId="7" applyFont="1" applyFill="1" applyBorder="1" applyAlignment="1" applyProtection="1">
      <alignment horizontal="center"/>
    </xf>
    <xf numFmtId="0" fontId="5" fillId="4" borderId="13" xfId="0" applyFont="1" applyFill="1" applyBorder="1" applyAlignment="1" applyProtection="1">
      <alignment horizontal="left"/>
    </xf>
    <xf numFmtId="0" fontId="5" fillId="4" borderId="14" xfId="0" applyFont="1" applyFill="1" applyBorder="1" applyAlignment="1" applyProtection="1">
      <alignment horizontal="left"/>
    </xf>
    <xf numFmtId="9" fontId="5" fillId="4" borderId="14" xfId="7" applyFont="1" applyFill="1" applyBorder="1" applyAlignment="1" applyProtection="1">
      <alignment horizontal="center"/>
    </xf>
    <xf numFmtId="9" fontId="5" fillId="4" borderId="15" xfId="7" applyFont="1" applyFill="1" applyBorder="1" applyAlignment="1" applyProtection="1">
      <alignment horizontal="center"/>
    </xf>
    <xf numFmtId="0" fontId="4" fillId="6" borderId="31" xfId="0" applyFont="1" applyFill="1" applyBorder="1" applyAlignment="1" applyProtection="1">
      <alignment horizontal="center"/>
      <protection locked="0"/>
    </xf>
    <xf numFmtId="0" fontId="4" fillId="6" borderId="35" xfId="0" applyFont="1" applyFill="1" applyBorder="1" applyAlignment="1" applyProtection="1">
      <alignment horizontal="center"/>
      <protection locked="0"/>
    </xf>
    <xf numFmtId="0" fontId="4" fillId="6" borderId="32" xfId="0" applyFont="1" applyFill="1" applyBorder="1" applyAlignment="1" applyProtection="1">
      <alignment horizontal="center"/>
      <protection locked="0"/>
    </xf>
    <xf numFmtId="0" fontId="5" fillId="3" borderId="21" xfId="0" applyFont="1" applyFill="1" applyBorder="1" applyAlignment="1" applyProtection="1">
      <alignment horizontal="center"/>
      <protection locked="0"/>
    </xf>
    <xf numFmtId="0" fontId="5" fillId="3" borderId="22" xfId="0" applyFont="1" applyFill="1" applyBorder="1" applyAlignment="1" applyProtection="1">
      <alignment horizontal="center"/>
      <protection locked="0"/>
    </xf>
    <xf numFmtId="0" fontId="5" fillId="3" borderId="43" xfId="0" applyFont="1" applyFill="1" applyBorder="1" applyAlignment="1" applyProtection="1">
      <alignment horizontal="center"/>
      <protection locked="0"/>
    </xf>
    <xf numFmtId="49" fontId="4" fillId="0" borderId="30" xfId="0" applyNumberFormat="1" applyFont="1" applyBorder="1" applyAlignment="1">
      <alignment horizontal="right" wrapText="1"/>
    </xf>
    <xf numFmtId="49" fontId="4" fillId="0" borderId="22" xfId="0" applyNumberFormat="1" applyFont="1" applyBorder="1" applyAlignment="1">
      <alignment horizontal="right" wrapText="1"/>
    </xf>
    <xf numFmtId="0" fontId="5" fillId="0" borderId="21" xfId="0" applyFont="1" applyBorder="1" applyAlignment="1">
      <alignment horizontal="center"/>
    </xf>
    <xf numFmtId="0" fontId="5" fillId="0" borderId="22" xfId="0" applyFont="1" applyBorder="1" applyAlignment="1">
      <alignment horizontal="center"/>
    </xf>
    <xf numFmtId="0" fontId="0" fillId="0" borderId="36" xfId="0" applyBorder="1" applyAlignment="1">
      <alignment horizontal="right"/>
    </xf>
    <xf numFmtId="0" fontId="0" fillId="0" borderId="33" xfId="0" applyBorder="1" applyAlignment="1">
      <alignment horizontal="right"/>
    </xf>
    <xf numFmtId="0" fontId="0" fillId="0" borderId="26" xfId="0" applyBorder="1" applyAlignment="1">
      <alignment horizontal="right"/>
    </xf>
    <xf numFmtId="0" fontId="37" fillId="8" borderId="30" xfId="0" applyFont="1" applyFill="1" applyBorder="1" applyAlignment="1">
      <alignment horizontal="right"/>
    </xf>
    <xf numFmtId="0" fontId="37" fillId="8" borderId="22" xfId="0" applyFont="1" applyFill="1" applyBorder="1" applyAlignment="1">
      <alignment horizontal="right"/>
    </xf>
    <xf numFmtId="0" fontId="37" fillId="8" borderId="23" xfId="0" applyFont="1" applyFill="1" applyBorder="1" applyAlignment="1">
      <alignment horizontal="right"/>
    </xf>
    <xf numFmtId="0" fontId="35" fillId="0" borderId="1" xfId="0" applyFont="1" applyBorder="1" applyAlignment="1">
      <alignment horizontal="center" wrapText="1"/>
    </xf>
    <xf numFmtId="0" fontId="28" fillId="0" borderId="2" xfId="0" applyFont="1" applyBorder="1" applyAlignment="1">
      <alignment horizontal="center" wrapText="1"/>
    </xf>
    <xf numFmtId="0" fontId="28" fillId="0" borderId="2" xfId="0" applyFont="1" applyBorder="1" applyAlignment="1">
      <alignment horizontal="center"/>
    </xf>
    <xf numFmtId="0" fontId="28" fillId="0" borderId="3" xfId="0" applyFont="1" applyBorder="1" applyAlignment="1">
      <alignment horizontal="center"/>
    </xf>
    <xf numFmtId="0" fontId="5" fillId="6" borderId="10" xfId="0" applyFont="1" applyFill="1" applyBorder="1" applyAlignment="1" applyProtection="1">
      <alignment horizontal="left"/>
      <protection locked="0"/>
    </xf>
    <xf numFmtId="0" fontId="5" fillId="6" borderId="26" xfId="0" applyFont="1" applyFill="1" applyBorder="1" applyAlignment="1" applyProtection="1">
      <alignment horizontal="left"/>
      <protection locked="0"/>
    </xf>
    <xf numFmtId="0" fontId="0" fillId="6" borderId="11" xfId="0" applyFill="1" applyBorder="1" applyAlignment="1" applyProtection="1">
      <alignment horizontal="left"/>
      <protection locked="0"/>
    </xf>
    <xf numFmtId="0" fontId="0" fillId="0" borderId="34" xfId="0" applyBorder="1" applyAlignment="1">
      <alignment horizontal="right"/>
    </xf>
    <xf numFmtId="0" fontId="0" fillId="0" borderId="35" xfId="0" applyBorder="1" applyAlignment="1">
      <alignment horizontal="right"/>
    </xf>
    <xf numFmtId="0" fontId="0" fillId="0" borderId="25" xfId="0" applyBorder="1" applyAlignment="1">
      <alignment horizontal="right"/>
    </xf>
    <xf numFmtId="0" fontId="4" fillId="0" borderId="7" xfId="0" applyFont="1" applyBorder="1" applyAlignment="1">
      <alignment horizontal="center" vertical="center"/>
    </xf>
    <xf numFmtId="0" fontId="4" fillId="0" borderId="25" xfId="0" applyFont="1" applyBorder="1" applyAlignment="1">
      <alignment horizontal="center" vertical="center"/>
    </xf>
    <xf numFmtId="0" fontId="3" fillId="0" borderId="8" xfId="0" applyFont="1" applyBorder="1" applyAlignment="1">
      <alignment horizontal="center" vertical="center"/>
    </xf>
    <xf numFmtId="0" fontId="5" fillId="6" borderId="38" xfId="0" applyFont="1" applyFill="1" applyBorder="1" applyAlignment="1" applyProtection="1">
      <alignment horizontal="center"/>
      <protection locked="0"/>
    </xf>
    <xf numFmtId="0" fontId="5" fillId="6" borderId="17" xfId="0" applyFont="1" applyFill="1" applyBorder="1" applyAlignment="1" applyProtection="1">
      <alignment horizontal="center"/>
      <protection locked="0"/>
    </xf>
    <xf numFmtId="0" fontId="5" fillId="6" borderId="18" xfId="0" applyFont="1" applyFill="1" applyBorder="1" applyAlignment="1" applyProtection="1">
      <alignment horizontal="center"/>
      <protection locked="0"/>
    </xf>
    <xf numFmtId="0" fontId="5" fillId="0" borderId="42" xfId="0" applyFont="1" applyBorder="1" applyAlignment="1">
      <alignment horizontal="center"/>
    </xf>
    <xf numFmtId="0" fontId="5" fillId="0" borderId="2" xfId="0" applyFont="1" applyBorder="1" applyAlignment="1">
      <alignment horizontal="center"/>
    </xf>
    <xf numFmtId="0" fontId="4" fillId="0" borderId="4" xfId="0" applyFont="1" applyBorder="1" applyAlignment="1">
      <alignment horizontal="right"/>
    </xf>
    <xf numFmtId="0" fontId="4" fillId="0" borderId="5" xfId="0" applyFont="1" applyBorder="1" applyAlignment="1">
      <alignment horizontal="right"/>
    </xf>
    <xf numFmtId="0" fontId="3" fillId="0" borderId="5" xfId="0" applyFont="1" applyBorder="1" applyAlignment="1">
      <alignment horizontal="right"/>
    </xf>
    <xf numFmtId="49" fontId="4" fillId="0" borderId="21" xfId="0" applyNumberFormat="1" applyFont="1" applyBorder="1" applyAlignment="1">
      <alignment horizontal="right" wrapText="1"/>
    </xf>
  </cellXfs>
  <cellStyles count="8">
    <cellStyle name="Followed Hyperlink" xfId="4" builtinId="9" hidden="1"/>
    <cellStyle name="Followed Hyperlink" xfId="6" builtinId="9" hidden="1"/>
    <cellStyle name="Hyperlink" xfId="3" builtinId="8" hidden="1"/>
    <cellStyle name="Hyperlink" xfId="5" builtinId="8" hidden="1"/>
    <cellStyle name="Normal" xfId="0" builtinId="0"/>
    <cellStyle name="Normal 2" xfId="1" xr:uid="{00000000-0005-0000-0000-000005000000}"/>
    <cellStyle name="Normal 3" xfId="2" xr:uid="{00000000-0005-0000-0000-000006000000}"/>
    <cellStyle name="Percent" xfId="7" builtinId="5"/>
  </cellStyles>
  <dxfs count="7">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s>
  <tableStyles count="0" defaultTableStyle="TableStyleMedium2" defaultPivotStyle="PivotStyleLight16"/>
  <colors>
    <mruColors>
      <color rgb="FFFF99CC"/>
      <color rgb="FFFF66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Appraisal Form'!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0</xdr:col>
      <xdr:colOff>83344</xdr:colOff>
      <xdr:row>0</xdr:row>
      <xdr:rowOff>130968</xdr:rowOff>
    </xdr:from>
    <xdr:to>
      <xdr:col>4</xdr:col>
      <xdr:colOff>357188</xdr:colOff>
      <xdr:row>0</xdr:row>
      <xdr:rowOff>627669</xdr:rowOff>
    </xdr:to>
    <xdr:pic>
      <xdr:nvPicPr>
        <xdr:cNvPr id="4" name="Picture 3">
          <a:extLst>
            <a:ext uri="{FF2B5EF4-FFF2-40B4-BE49-F238E27FC236}">
              <a16:creationId xmlns:a16="http://schemas.microsoft.com/office/drawing/2014/main" id="{0783BB48-416E-400C-BD1A-59433B4CAB68}"/>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83344" y="130968"/>
          <a:ext cx="2905125" cy="496701"/>
        </a:xfrm>
        <a:prstGeom prst="rect">
          <a:avLst/>
        </a:prstGeom>
      </xdr:spPr>
    </xdr:pic>
    <xdr:clientData/>
  </xdr:twoCellAnchor>
  <xdr:twoCellAnchor>
    <xdr:from>
      <xdr:col>9</xdr:col>
      <xdr:colOff>2905124</xdr:colOff>
      <xdr:row>6</xdr:row>
      <xdr:rowOff>166687</xdr:rowOff>
    </xdr:from>
    <xdr:to>
      <xdr:col>9</xdr:col>
      <xdr:colOff>4250530</xdr:colOff>
      <xdr:row>6</xdr:row>
      <xdr:rowOff>785812</xdr:rowOff>
    </xdr:to>
    <xdr:sp macro="[0]!Module1.RectangleRoundedCorners1_Click" textlink="">
      <xdr:nvSpPr>
        <xdr:cNvPr id="2" name="Rectangle: Rounded Corners 1">
          <a:hlinkClick xmlns:r="http://schemas.openxmlformats.org/officeDocument/2006/relationships" r:id="rId2"/>
          <a:extLst>
            <a:ext uri="{FF2B5EF4-FFF2-40B4-BE49-F238E27FC236}">
              <a16:creationId xmlns:a16="http://schemas.microsoft.com/office/drawing/2014/main" id="{7ACF244A-0D06-4609-9E3B-826091B79FD2}"/>
            </a:ext>
          </a:extLst>
        </xdr:cNvPr>
        <xdr:cNvSpPr/>
      </xdr:nvSpPr>
      <xdr:spPr>
        <a:xfrm>
          <a:off x="8512968" y="8203406"/>
          <a:ext cx="1345406" cy="619125"/>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Go to </a:t>
          </a:r>
        </a:p>
        <a:p>
          <a:pPr algn="ctr"/>
          <a:r>
            <a:rPr lang="en-US" sz="1100"/>
            <a:t>Appraisal Form</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250033</xdr:colOff>
      <xdr:row>0</xdr:row>
      <xdr:rowOff>142875</xdr:rowOff>
    </xdr:from>
    <xdr:to>
      <xdr:col>1</xdr:col>
      <xdr:colOff>1982393</xdr:colOff>
      <xdr:row>2</xdr:row>
      <xdr:rowOff>273844</xdr:rowOff>
    </xdr:to>
    <xdr:pic>
      <xdr:nvPicPr>
        <xdr:cNvPr id="3" name="Picture 2">
          <a:extLst>
            <a:ext uri="{FF2B5EF4-FFF2-40B4-BE49-F238E27FC236}">
              <a16:creationId xmlns:a16="http://schemas.microsoft.com/office/drawing/2014/main" id="{9AFFE0A4-D4EB-471E-94BB-DBEB18D55698}"/>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250033" y="142875"/>
          <a:ext cx="2994423" cy="5119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217715</xdr:colOff>
      <xdr:row>0</xdr:row>
      <xdr:rowOff>190500</xdr:rowOff>
    </xdr:from>
    <xdr:to>
      <xdr:col>1</xdr:col>
      <xdr:colOff>3212138</xdr:colOff>
      <xdr:row>0</xdr:row>
      <xdr:rowOff>702469</xdr:rowOff>
    </xdr:to>
    <xdr:pic>
      <xdr:nvPicPr>
        <xdr:cNvPr id="2" name="Picture 1">
          <a:extLst>
            <a:ext uri="{FF2B5EF4-FFF2-40B4-BE49-F238E27FC236}">
              <a16:creationId xmlns:a16="http://schemas.microsoft.com/office/drawing/2014/main" id="{69873E86-343B-4975-A743-F02FDE193F9D}"/>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802822" y="190500"/>
          <a:ext cx="2994423" cy="51196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72"/>
  <sheetViews>
    <sheetView zoomScale="80" zoomScaleNormal="80" workbookViewId="0">
      <selection sqref="A1:J1"/>
    </sheetView>
  </sheetViews>
  <sheetFormatPr defaultColWidth="8.81640625" defaultRowHeight="67.5" customHeight="1" x14ac:dyDescent="0.35"/>
  <cols>
    <col min="3" max="3" width="12.7265625" bestFit="1" customWidth="1"/>
    <col min="10" max="10" width="64.7265625" customWidth="1"/>
  </cols>
  <sheetData>
    <row r="1" spans="1:10" ht="67.5" customHeight="1" x14ac:dyDescent="0.35">
      <c r="A1" s="95" t="s">
        <v>109</v>
      </c>
      <c r="B1" s="96"/>
      <c r="C1" s="96"/>
      <c r="D1" s="96"/>
      <c r="E1" s="96"/>
      <c r="F1" s="96"/>
      <c r="G1" s="96"/>
      <c r="H1" s="96"/>
      <c r="I1" s="96"/>
      <c r="J1" s="97"/>
    </row>
    <row r="2" spans="1:10" ht="82.5" customHeight="1" x14ac:dyDescent="0.35">
      <c r="A2" s="98" t="s">
        <v>111</v>
      </c>
      <c r="B2" s="101"/>
      <c r="C2" s="101"/>
      <c r="D2" s="101"/>
      <c r="E2" s="101"/>
      <c r="F2" s="101"/>
      <c r="G2" s="101"/>
      <c r="H2" s="101"/>
      <c r="I2" s="101"/>
      <c r="J2" s="102"/>
    </row>
    <row r="3" spans="1:10" ht="182.25" customHeight="1" x14ac:dyDescent="0.35">
      <c r="A3" s="98" t="s">
        <v>112</v>
      </c>
      <c r="B3" s="99"/>
      <c r="C3" s="99"/>
      <c r="D3" s="99"/>
      <c r="E3" s="99"/>
      <c r="F3" s="99"/>
      <c r="G3" s="99"/>
      <c r="H3" s="99"/>
      <c r="I3" s="99"/>
      <c r="J3" s="100"/>
    </row>
    <row r="4" spans="1:10" ht="247.5" customHeight="1" x14ac:dyDescent="0.35">
      <c r="A4" s="98" t="s">
        <v>110</v>
      </c>
      <c r="B4" s="101"/>
      <c r="C4" s="101"/>
      <c r="D4" s="101"/>
      <c r="E4" s="101"/>
      <c r="F4" s="101"/>
      <c r="G4" s="101"/>
      <c r="H4" s="101"/>
      <c r="I4" s="101"/>
      <c r="J4" s="102"/>
    </row>
    <row r="5" spans="1:10" ht="41.25" customHeight="1" x14ac:dyDescent="0.35">
      <c r="A5" s="98" t="s">
        <v>51</v>
      </c>
      <c r="B5" s="101"/>
      <c r="C5" s="101"/>
      <c r="D5" s="101"/>
      <c r="E5" s="101"/>
      <c r="F5" s="101"/>
      <c r="G5" s="101"/>
      <c r="H5" s="101"/>
      <c r="I5" s="101"/>
      <c r="J5" s="102"/>
    </row>
    <row r="6" spans="1:10" ht="41.25" customHeight="1" thickBot="1" x14ac:dyDescent="0.4">
      <c r="A6" s="92" t="s">
        <v>49</v>
      </c>
      <c r="B6" s="93"/>
      <c r="C6" s="93"/>
      <c r="D6" s="93"/>
      <c r="E6" s="93"/>
      <c r="F6" s="93"/>
      <c r="G6" s="93"/>
      <c r="H6" s="93"/>
      <c r="I6" s="93"/>
      <c r="J6" s="94"/>
    </row>
    <row r="7" spans="1:10" s="54" customFormat="1" ht="67.5" customHeight="1" x14ac:dyDescent="0.35"/>
    <row r="8" spans="1:10" s="54" customFormat="1" ht="67.5" customHeight="1" x14ac:dyDescent="0.35"/>
    <row r="9" spans="1:10" s="54" customFormat="1" ht="67.5" customHeight="1" x14ac:dyDescent="0.35"/>
    <row r="10" spans="1:10" s="54" customFormat="1" ht="67.5" customHeight="1" x14ac:dyDescent="0.35"/>
    <row r="11" spans="1:10" s="54" customFormat="1" ht="67.5" customHeight="1" x14ac:dyDescent="0.35"/>
    <row r="12" spans="1:10" s="54" customFormat="1" ht="67.5" customHeight="1" x14ac:dyDescent="0.35"/>
    <row r="13" spans="1:10" s="54" customFormat="1" ht="67.5" customHeight="1" x14ac:dyDescent="0.35"/>
    <row r="14" spans="1:10" s="54" customFormat="1" ht="67.5" customHeight="1" x14ac:dyDescent="0.35"/>
    <row r="15" spans="1:10" s="54" customFormat="1" ht="67.5" customHeight="1" x14ac:dyDescent="0.35"/>
    <row r="16" spans="1:10" s="54" customFormat="1" ht="67.5" customHeight="1" x14ac:dyDescent="0.35"/>
    <row r="17" spans="1:10" s="54" customFormat="1" ht="67.5" customHeight="1" x14ac:dyDescent="0.35"/>
    <row r="18" spans="1:10" s="54" customFormat="1" ht="67.5" customHeight="1" x14ac:dyDescent="0.35"/>
    <row r="19" spans="1:10" s="54" customFormat="1" ht="67.5" customHeight="1" x14ac:dyDescent="0.35"/>
    <row r="20" spans="1:10" s="54" customFormat="1" ht="67.5" customHeight="1" x14ac:dyDescent="0.35"/>
    <row r="21" spans="1:10" s="54" customFormat="1" ht="67.5" customHeight="1" x14ac:dyDescent="0.35"/>
    <row r="22" spans="1:10" s="54" customFormat="1" ht="67.5" customHeight="1" x14ac:dyDescent="0.35"/>
    <row r="23" spans="1:10" s="54" customFormat="1" ht="67.5" customHeight="1" x14ac:dyDescent="0.35"/>
    <row r="24" spans="1:10" s="54" customFormat="1" ht="67.5" customHeight="1" x14ac:dyDescent="0.35">
      <c r="A24" s="58"/>
      <c r="B24" s="58"/>
      <c r="C24" s="58"/>
      <c r="D24" s="58"/>
      <c r="E24" s="58"/>
    </row>
    <row r="25" spans="1:10" ht="67.5" customHeight="1" x14ac:dyDescent="0.35">
      <c r="A25" s="51"/>
      <c r="B25" s="51"/>
      <c r="C25" s="52"/>
      <c r="D25" s="51"/>
      <c r="E25" s="13"/>
      <c r="F25" s="47"/>
      <c r="G25" s="47"/>
      <c r="H25" s="47"/>
      <c r="I25" s="47"/>
      <c r="J25" s="47"/>
    </row>
    <row r="26" spans="1:10" ht="67.5" customHeight="1" x14ac:dyDescent="0.35">
      <c r="A26" s="51"/>
      <c r="B26" s="51"/>
      <c r="C26" s="52"/>
      <c r="D26" s="51"/>
      <c r="E26" s="13"/>
      <c r="F26" s="47"/>
      <c r="G26" s="47"/>
      <c r="H26" s="47"/>
      <c r="I26" s="47"/>
      <c r="J26" s="47"/>
    </row>
    <row r="27" spans="1:10" ht="67.5" customHeight="1" x14ac:dyDescent="0.35">
      <c r="A27" s="51"/>
      <c r="B27" s="51"/>
      <c r="C27" s="52"/>
      <c r="D27" s="51"/>
      <c r="E27" s="13"/>
      <c r="F27" s="47"/>
      <c r="G27" s="47"/>
      <c r="H27" s="47"/>
      <c r="I27" s="47"/>
      <c r="J27" s="47"/>
    </row>
    <row r="28" spans="1:10" ht="67.5" customHeight="1" x14ac:dyDescent="0.35">
      <c r="A28" s="51"/>
      <c r="B28" s="51"/>
      <c r="C28" s="52"/>
      <c r="D28" s="51"/>
      <c r="E28" s="13"/>
      <c r="F28" s="47"/>
      <c r="G28" s="47"/>
      <c r="H28" s="47"/>
      <c r="I28" s="47"/>
      <c r="J28" s="47"/>
    </row>
    <row r="29" spans="1:10" ht="67.5" customHeight="1" x14ac:dyDescent="0.35">
      <c r="A29" s="51"/>
      <c r="B29" s="51"/>
      <c r="C29" s="52"/>
      <c r="D29" s="51"/>
      <c r="E29" s="13"/>
      <c r="F29" s="47"/>
      <c r="G29" s="47"/>
      <c r="H29" s="47"/>
      <c r="I29" s="47"/>
      <c r="J29" s="47"/>
    </row>
    <row r="30" spans="1:10" ht="67.5" customHeight="1" x14ac:dyDescent="0.35">
      <c r="A30" s="51"/>
      <c r="B30" s="51"/>
      <c r="C30" s="52"/>
      <c r="D30" s="51"/>
      <c r="E30" s="13"/>
      <c r="F30" s="47"/>
      <c r="G30" s="47"/>
      <c r="H30" s="47"/>
      <c r="I30" s="47"/>
      <c r="J30" s="47"/>
    </row>
    <row r="31" spans="1:10" ht="67.5" customHeight="1" x14ac:dyDescent="0.35">
      <c r="A31" s="51"/>
      <c r="B31" s="51"/>
      <c r="C31" s="52"/>
      <c r="D31" s="51"/>
      <c r="E31" s="13"/>
      <c r="F31" s="47"/>
      <c r="G31" s="47"/>
      <c r="H31" s="47"/>
      <c r="I31" s="47"/>
      <c r="J31" s="47"/>
    </row>
    <row r="32" spans="1:10" ht="67.5" customHeight="1" x14ac:dyDescent="0.35">
      <c r="A32" s="51"/>
      <c r="B32" s="51"/>
      <c r="C32" s="52"/>
      <c r="D32" s="51"/>
      <c r="E32" s="13"/>
      <c r="F32" s="47"/>
      <c r="G32" s="47"/>
      <c r="H32" s="47"/>
      <c r="I32" s="47"/>
      <c r="J32" s="47"/>
    </row>
    <row r="33" spans="1:10" ht="67.5" customHeight="1" x14ac:dyDescent="0.35">
      <c r="A33" s="51"/>
      <c r="B33" s="51"/>
      <c r="C33" s="52"/>
      <c r="D33" s="51"/>
      <c r="E33" s="13"/>
      <c r="F33" s="47"/>
      <c r="G33" s="47"/>
      <c r="H33" s="47"/>
      <c r="I33" s="47"/>
      <c r="J33" s="47"/>
    </row>
    <row r="34" spans="1:10" ht="67.5" customHeight="1" x14ac:dyDescent="0.35">
      <c r="A34" s="51"/>
      <c r="B34" s="51"/>
      <c r="C34" s="52"/>
      <c r="D34" s="51"/>
      <c r="E34" s="13"/>
      <c r="F34" s="47"/>
      <c r="G34" s="47"/>
      <c r="H34" s="47"/>
      <c r="I34" s="47"/>
      <c r="J34" s="47"/>
    </row>
    <row r="35" spans="1:10" ht="67.5" customHeight="1" x14ac:dyDescent="0.35">
      <c r="A35" s="51"/>
      <c r="B35" s="51"/>
      <c r="C35" s="52"/>
      <c r="D35" s="51"/>
      <c r="E35" s="13"/>
      <c r="F35" s="47"/>
      <c r="G35" s="47"/>
      <c r="H35" s="47"/>
      <c r="I35" s="47"/>
      <c r="J35" s="47"/>
    </row>
    <row r="36" spans="1:10" ht="67.5" customHeight="1" x14ac:dyDescent="0.35">
      <c r="A36" s="51"/>
      <c r="B36" s="51"/>
      <c r="C36" s="52"/>
      <c r="D36" s="51"/>
      <c r="E36" s="13"/>
      <c r="F36" s="47"/>
      <c r="G36" s="47"/>
      <c r="H36" s="47"/>
      <c r="I36" s="47"/>
      <c r="J36" s="47"/>
    </row>
    <row r="37" spans="1:10" ht="67.5" customHeight="1" x14ac:dyDescent="0.35">
      <c r="A37" s="51"/>
      <c r="B37" s="51"/>
      <c r="C37" s="52"/>
      <c r="D37" s="51"/>
      <c r="E37" s="13"/>
      <c r="F37" s="47"/>
      <c r="G37" s="47"/>
      <c r="H37" s="47"/>
      <c r="I37" s="47"/>
      <c r="J37" s="47"/>
    </row>
    <row r="38" spans="1:10" ht="67.5" customHeight="1" x14ac:dyDescent="0.35">
      <c r="A38" s="51"/>
      <c r="B38" s="51"/>
      <c r="C38" s="52"/>
      <c r="D38" s="51"/>
      <c r="E38" s="13"/>
      <c r="F38" s="47"/>
      <c r="G38" s="47"/>
      <c r="H38" s="47"/>
      <c r="I38" s="47"/>
      <c r="J38" s="47"/>
    </row>
    <row r="39" spans="1:10" ht="67.5" customHeight="1" x14ac:dyDescent="0.35">
      <c r="A39" s="51"/>
      <c r="B39" s="51"/>
      <c r="C39" s="52"/>
      <c r="D39" s="51"/>
      <c r="E39" s="13"/>
      <c r="F39" s="47"/>
      <c r="G39" s="47"/>
      <c r="H39" s="47"/>
      <c r="I39" s="47"/>
      <c r="J39" s="47"/>
    </row>
    <row r="40" spans="1:10" ht="67.5" customHeight="1" x14ac:dyDescent="0.35">
      <c r="A40" s="51"/>
      <c r="B40" s="51"/>
      <c r="C40" s="52"/>
      <c r="D40" s="51"/>
      <c r="E40" s="13"/>
      <c r="F40" s="47"/>
      <c r="G40" s="47"/>
      <c r="H40" s="47"/>
      <c r="I40" s="47"/>
      <c r="J40" s="47"/>
    </row>
    <row r="41" spans="1:10" ht="67.5" customHeight="1" x14ac:dyDescent="0.35">
      <c r="A41" s="51"/>
      <c r="B41" s="51"/>
      <c r="C41" s="52"/>
      <c r="D41" s="51"/>
      <c r="E41" s="13"/>
      <c r="F41" s="47"/>
      <c r="G41" s="47"/>
      <c r="H41" s="47"/>
      <c r="I41" s="47"/>
      <c r="J41" s="47"/>
    </row>
    <row r="42" spans="1:10" ht="67.5" customHeight="1" x14ac:dyDescent="0.35">
      <c r="A42" s="51"/>
      <c r="B42" s="51"/>
      <c r="C42" s="52"/>
      <c r="D42" s="51"/>
      <c r="E42" s="13"/>
      <c r="F42" s="47"/>
      <c r="G42" s="47"/>
      <c r="H42" s="47"/>
      <c r="I42" s="47"/>
      <c r="J42" s="47"/>
    </row>
    <row r="43" spans="1:10" ht="67.5" customHeight="1" x14ac:dyDescent="0.35">
      <c r="A43" s="51"/>
      <c r="B43" s="51"/>
      <c r="C43" s="52"/>
      <c r="D43" s="51"/>
      <c r="E43" s="13"/>
      <c r="F43" s="47"/>
      <c r="G43" s="47"/>
      <c r="H43" s="47"/>
      <c r="I43" s="47"/>
      <c r="J43" s="47"/>
    </row>
    <row r="44" spans="1:10" ht="67.5" customHeight="1" x14ac:dyDescent="0.35">
      <c r="A44" s="51"/>
      <c r="B44" s="51"/>
      <c r="C44" s="52"/>
      <c r="D44" s="51"/>
      <c r="E44" s="13"/>
      <c r="F44" s="47"/>
      <c r="G44" s="47"/>
      <c r="H44" s="47"/>
      <c r="I44" s="47"/>
      <c r="J44" s="47"/>
    </row>
    <row r="45" spans="1:10" ht="67.5" customHeight="1" x14ac:dyDescent="0.35">
      <c r="A45" s="51"/>
      <c r="B45" s="51"/>
      <c r="C45" s="52"/>
      <c r="D45" s="51"/>
      <c r="E45" s="13"/>
      <c r="F45" s="47"/>
      <c r="G45" s="47"/>
      <c r="H45" s="47"/>
      <c r="I45" s="47"/>
      <c r="J45" s="47"/>
    </row>
    <row r="46" spans="1:10" ht="67.5" customHeight="1" x14ac:dyDescent="0.35">
      <c r="A46" s="51"/>
      <c r="B46" s="51"/>
      <c r="C46" s="52"/>
      <c r="D46" s="51"/>
      <c r="E46" s="13"/>
      <c r="F46" s="47"/>
      <c r="G46" s="47"/>
      <c r="H46" s="47"/>
      <c r="I46" s="47"/>
      <c r="J46" s="47"/>
    </row>
    <row r="47" spans="1:10" ht="67.5" customHeight="1" x14ac:dyDescent="0.35">
      <c r="A47" s="51"/>
      <c r="B47" s="51"/>
      <c r="C47" s="52"/>
      <c r="D47" s="51"/>
      <c r="E47" s="13"/>
      <c r="F47" s="47"/>
      <c r="G47" s="47"/>
      <c r="H47" s="47"/>
      <c r="I47" s="47"/>
      <c r="J47" s="47"/>
    </row>
    <row r="48" spans="1:10" ht="67.5" customHeight="1" x14ac:dyDescent="0.35">
      <c r="A48" s="51"/>
      <c r="B48" s="51"/>
      <c r="C48" s="52"/>
      <c r="D48" s="51"/>
      <c r="E48" s="13"/>
      <c r="F48" s="47"/>
      <c r="G48" s="47"/>
      <c r="H48" s="47"/>
      <c r="I48" s="47"/>
      <c r="J48" s="47"/>
    </row>
    <row r="49" spans="1:10" ht="67.5" customHeight="1" x14ac:dyDescent="0.35">
      <c r="A49" s="51"/>
      <c r="B49" s="51"/>
      <c r="C49" s="52"/>
      <c r="D49" s="51"/>
      <c r="E49" s="13"/>
      <c r="F49" s="47"/>
      <c r="G49" s="47"/>
      <c r="H49" s="47"/>
      <c r="I49" s="47"/>
      <c r="J49" s="47"/>
    </row>
    <row r="50" spans="1:10" ht="67.5" customHeight="1" x14ac:dyDescent="0.35">
      <c r="A50" s="51"/>
      <c r="B50" s="51"/>
      <c r="C50" s="52"/>
      <c r="D50" s="51"/>
      <c r="E50" s="13"/>
      <c r="F50" s="47"/>
      <c r="G50" s="47"/>
      <c r="H50" s="47"/>
      <c r="I50" s="47"/>
      <c r="J50" s="47"/>
    </row>
    <row r="51" spans="1:10" ht="67.5" customHeight="1" x14ac:dyDescent="0.35">
      <c r="A51" s="51"/>
      <c r="B51" s="51"/>
      <c r="C51" s="52"/>
      <c r="D51" s="51"/>
      <c r="E51" s="13"/>
      <c r="F51" s="47"/>
      <c r="G51" s="47"/>
      <c r="H51" s="47"/>
      <c r="I51" s="47"/>
      <c r="J51" s="47"/>
    </row>
    <row r="52" spans="1:10" ht="67.5" customHeight="1" x14ac:dyDescent="0.35">
      <c r="A52" s="51"/>
      <c r="B52" s="51"/>
      <c r="C52" s="52"/>
      <c r="D52" s="51"/>
      <c r="E52" s="13"/>
      <c r="F52" s="47"/>
      <c r="G52" s="47"/>
      <c r="H52" s="47"/>
      <c r="I52" s="47"/>
      <c r="J52" s="47"/>
    </row>
    <row r="53" spans="1:10" ht="67.5" customHeight="1" x14ac:dyDescent="0.35">
      <c r="A53" s="51"/>
      <c r="B53" s="51"/>
      <c r="C53" s="52"/>
      <c r="D53" s="51"/>
      <c r="E53" s="13"/>
      <c r="F53" s="47"/>
      <c r="G53" s="47"/>
      <c r="H53" s="47"/>
      <c r="I53" s="47"/>
      <c r="J53" s="47"/>
    </row>
    <row r="54" spans="1:10" ht="67.5" customHeight="1" x14ac:dyDescent="0.35">
      <c r="A54" s="51"/>
      <c r="B54" s="51"/>
      <c r="C54" s="52"/>
      <c r="D54" s="51"/>
      <c r="E54" s="13"/>
      <c r="F54" s="47"/>
      <c r="G54" s="47"/>
      <c r="H54" s="47"/>
      <c r="I54" s="47"/>
      <c r="J54" s="47"/>
    </row>
    <row r="55" spans="1:10" ht="67.5" customHeight="1" x14ac:dyDescent="0.35">
      <c r="A55" s="51"/>
      <c r="B55" s="51"/>
      <c r="C55" s="52"/>
      <c r="D55" s="51"/>
      <c r="E55" s="13"/>
      <c r="F55" s="47"/>
      <c r="G55" s="47"/>
      <c r="H55" s="47"/>
      <c r="I55" s="47"/>
      <c r="J55" s="47"/>
    </row>
    <row r="56" spans="1:10" ht="67.5" customHeight="1" x14ac:dyDescent="0.35">
      <c r="A56" s="51"/>
      <c r="B56" s="51"/>
      <c r="C56" s="52"/>
      <c r="D56" s="51"/>
      <c r="E56" s="13"/>
      <c r="F56" s="47"/>
      <c r="G56" s="47"/>
      <c r="H56" s="47"/>
      <c r="I56" s="47"/>
      <c r="J56" s="47"/>
    </row>
    <row r="57" spans="1:10" ht="67.5" customHeight="1" x14ac:dyDescent="0.35">
      <c r="A57" s="51"/>
      <c r="B57" s="51"/>
      <c r="C57" s="52"/>
      <c r="D57" s="51"/>
      <c r="E57" s="13"/>
      <c r="F57" s="47"/>
      <c r="G57" s="47"/>
      <c r="H57" s="47"/>
      <c r="I57" s="47"/>
      <c r="J57" s="47"/>
    </row>
    <row r="58" spans="1:10" ht="67.5" customHeight="1" x14ac:dyDescent="0.35">
      <c r="A58" s="51"/>
      <c r="B58" s="51"/>
      <c r="C58" s="52"/>
      <c r="D58" s="51"/>
      <c r="E58" s="13"/>
      <c r="F58" s="47"/>
      <c r="G58" s="47"/>
      <c r="H58" s="47"/>
      <c r="I58" s="47"/>
      <c r="J58" s="47"/>
    </row>
    <row r="59" spans="1:10" ht="67.5" customHeight="1" x14ac:dyDescent="0.35">
      <c r="A59" s="51"/>
      <c r="B59" s="51"/>
      <c r="C59" s="52"/>
      <c r="D59" s="51"/>
      <c r="E59" s="13"/>
      <c r="F59" s="47"/>
      <c r="G59" s="47"/>
      <c r="H59" s="47"/>
      <c r="I59" s="47"/>
      <c r="J59" s="47"/>
    </row>
    <row r="60" spans="1:10" ht="67.5" customHeight="1" x14ac:dyDescent="0.35">
      <c r="A60" s="51"/>
      <c r="B60" s="51"/>
      <c r="C60" s="52"/>
      <c r="D60" s="51"/>
      <c r="E60" s="13"/>
      <c r="F60" s="47"/>
      <c r="G60" s="47"/>
      <c r="H60" s="47"/>
      <c r="I60" s="47"/>
      <c r="J60" s="47"/>
    </row>
    <row r="61" spans="1:10" ht="67.5" customHeight="1" x14ac:dyDescent="0.35">
      <c r="A61" s="51"/>
      <c r="B61" s="51"/>
      <c r="C61" s="52"/>
      <c r="D61" s="51"/>
      <c r="E61" s="13"/>
      <c r="F61" s="47"/>
      <c r="G61" s="47"/>
      <c r="H61" s="47"/>
      <c r="I61" s="47"/>
      <c r="J61" s="47"/>
    </row>
    <row r="62" spans="1:10" ht="67.5" customHeight="1" x14ac:dyDescent="0.35">
      <c r="A62" s="51"/>
      <c r="B62" s="51"/>
      <c r="C62" s="52"/>
      <c r="D62" s="51"/>
      <c r="E62" s="13"/>
      <c r="F62" s="47"/>
      <c r="G62" s="47"/>
      <c r="H62" s="47"/>
      <c r="I62" s="47"/>
      <c r="J62" s="47"/>
    </row>
    <row r="63" spans="1:10" ht="67.5" customHeight="1" x14ac:dyDescent="0.35">
      <c r="A63" s="51"/>
      <c r="B63" s="51"/>
      <c r="C63" s="52"/>
      <c r="D63" s="51"/>
      <c r="E63" s="13"/>
      <c r="F63" s="47"/>
      <c r="G63" s="47"/>
      <c r="H63" s="47"/>
      <c r="I63" s="47"/>
      <c r="J63" s="47"/>
    </row>
    <row r="64" spans="1:10" ht="67.5" customHeight="1" x14ac:dyDescent="0.35">
      <c r="A64" s="51"/>
      <c r="B64" s="51"/>
      <c r="C64" s="52"/>
      <c r="D64" s="51"/>
      <c r="E64" s="13"/>
      <c r="F64" s="47"/>
      <c r="G64" s="47"/>
      <c r="H64" s="47"/>
      <c r="I64" s="47"/>
      <c r="J64" s="47"/>
    </row>
    <row r="65" spans="1:10" ht="67.5" customHeight="1" x14ac:dyDescent="0.35">
      <c r="A65" s="51"/>
      <c r="B65" s="51"/>
      <c r="C65" s="52"/>
      <c r="D65" s="51"/>
      <c r="E65" s="13"/>
      <c r="F65" s="47"/>
      <c r="G65" s="47"/>
      <c r="H65" s="47"/>
      <c r="I65" s="47"/>
      <c r="J65" s="47"/>
    </row>
    <row r="66" spans="1:10" ht="67.5" customHeight="1" x14ac:dyDescent="0.35">
      <c r="A66" s="51"/>
      <c r="B66" s="51"/>
      <c r="C66" s="52"/>
      <c r="D66" s="51"/>
      <c r="E66" s="13"/>
      <c r="F66" s="47"/>
      <c r="G66" s="47"/>
      <c r="H66" s="47"/>
      <c r="I66" s="47"/>
      <c r="J66" s="47"/>
    </row>
    <row r="67" spans="1:10" ht="67.5" customHeight="1" x14ac:dyDescent="0.35">
      <c r="A67" s="51"/>
      <c r="B67" s="51"/>
      <c r="C67" s="52"/>
      <c r="D67" s="53"/>
      <c r="E67" s="13"/>
      <c r="F67" s="47"/>
      <c r="G67" s="47"/>
      <c r="H67" s="47"/>
      <c r="I67" s="47"/>
      <c r="J67" s="47"/>
    </row>
    <row r="68" spans="1:10" ht="67.5" customHeight="1" x14ac:dyDescent="0.35">
      <c r="A68" s="51"/>
      <c r="B68" s="51"/>
      <c r="C68" s="52"/>
      <c r="D68" s="51"/>
      <c r="E68" s="13"/>
      <c r="F68" s="47"/>
      <c r="G68" s="47"/>
      <c r="H68" s="47"/>
      <c r="I68" s="47"/>
      <c r="J68" s="47"/>
    </row>
    <row r="69" spans="1:10" ht="67.5" customHeight="1" x14ac:dyDescent="0.35">
      <c r="A69" s="51"/>
      <c r="B69" s="51"/>
      <c r="C69" s="52"/>
      <c r="D69" s="51"/>
      <c r="E69" s="13"/>
      <c r="F69" s="47"/>
      <c r="G69" s="47"/>
      <c r="H69" s="47"/>
      <c r="I69" s="47"/>
      <c r="J69" s="47"/>
    </row>
    <row r="70" spans="1:10" ht="67.5" customHeight="1" x14ac:dyDescent="0.35">
      <c r="A70" s="51"/>
      <c r="B70" s="51"/>
      <c r="C70" s="52"/>
      <c r="D70" s="51"/>
      <c r="E70" s="13"/>
      <c r="F70" s="47"/>
      <c r="G70" s="47"/>
      <c r="H70" s="47"/>
      <c r="I70" s="47"/>
      <c r="J70" s="47"/>
    </row>
    <row r="71" spans="1:10" ht="67.5" customHeight="1" x14ac:dyDescent="0.35">
      <c r="A71" s="51"/>
      <c r="B71" s="51"/>
      <c r="C71" s="52"/>
      <c r="D71" s="51"/>
      <c r="E71" s="13"/>
      <c r="F71" s="47"/>
      <c r="G71" s="47"/>
      <c r="H71" s="47"/>
      <c r="I71" s="47"/>
      <c r="J71" s="47"/>
    </row>
    <row r="72" spans="1:10" ht="67.5" customHeight="1" x14ac:dyDescent="0.35">
      <c r="A72" s="51"/>
      <c r="B72" s="51"/>
      <c r="C72" s="52"/>
      <c r="D72" s="51"/>
      <c r="E72" s="13"/>
      <c r="F72" s="47"/>
      <c r="G72" s="47"/>
      <c r="H72" s="47"/>
      <c r="I72" s="47"/>
      <c r="J72" s="47"/>
    </row>
    <row r="73" spans="1:10" ht="67.5" customHeight="1" x14ac:dyDescent="0.35">
      <c r="A73" s="51"/>
      <c r="B73" s="51"/>
      <c r="C73" s="52"/>
      <c r="D73" s="51"/>
      <c r="E73" s="13"/>
      <c r="F73" s="47"/>
      <c r="G73" s="47"/>
      <c r="H73" s="47"/>
      <c r="I73" s="47"/>
      <c r="J73" s="47"/>
    </row>
    <row r="74" spans="1:10" ht="67.5" customHeight="1" x14ac:dyDescent="0.35">
      <c r="A74" s="54"/>
      <c r="B74" s="51"/>
      <c r="C74" s="55"/>
      <c r="D74" s="51"/>
      <c r="E74" s="13"/>
      <c r="F74" s="47"/>
      <c r="G74" s="47"/>
      <c r="H74" s="47"/>
      <c r="I74" s="47"/>
      <c r="J74" s="47"/>
    </row>
    <row r="75" spans="1:10" ht="67.5" customHeight="1" x14ac:dyDescent="0.35">
      <c r="A75" s="51"/>
      <c r="B75" s="51"/>
      <c r="C75" s="52"/>
      <c r="D75" s="51"/>
      <c r="E75" s="13"/>
      <c r="F75" s="47"/>
      <c r="G75" s="47"/>
      <c r="H75" s="47"/>
      <c r="I75" s="47"/>
      <c r="J75" s="47"/>
    </row>
    <row r="76" spans="1:10" ht="67.5" customHeight="1" x14ac:dyDescent="0.35">
      <c r="A76" s="51"/>
      <c r="B76" s="51"/>
      <c r="C76" s="52"/>
      <c r="D76" s="51"/>
      <c r="E76" s="13"/>
      <c r="F76" s="47"/>
      <c r="G76" s="47"/>
      <c r="H76" s="47"/>
      <c r="I76" s="47"/>
      <c r="J76" s="47"/>
    </row>
    <row r="77" spans="1:10" ht="67.5" customHeight="1" x14ac:dyDescent="0.35">
      <c r="A77" s="51"/>
      <c r="B77" s="51"/>
      <c r="C77" s="52"/>
      <c r="D77" s="51"/>
      <c r="E77" s="13"/>
      <c r="F77" s="47"/>
      <c r="G77" s="47"/>
      <c r="H77" s="47"/>
      <c r="I77" s="47"/>
      <c r="J77" s="47"/>
    </row>
    <row r="78" spans="1:10" ht="67.5" customHeight="1" x14ac:dyDescent="0.35">
      <c r="A78" s="51"/>
      <c r="B78" s="51"/>
      <c r="C78" s="52"/>
      <c r="D78" s="51"/>
      <c r="E78" s="13"/>
      <c r="F78" s="47"/>
      <c r="G78" s="47"/>
      <c r="H78" s="47"/>
      <c r="I78" s="47"/>
      <c r="J78" s="47"/>
    </row>
    <row r="79" spans="1:10" ht="67.5" customHeight="1" x14ac:dyDescent="0.35">
      <c r="A79" s="51"/>
      <c r="B79" s="51"/>
      <c r="C79" s="52"/>
      <c r="D79" s="51"/>
      <c r="E79" s="13"/>
      <c r="F79" s="47"/>
      <c r="G79" s="47"/>
      <c r="H79" s="47"/>
      <c r="I79" s="47"/>
      <c r="J79" s="47"/>
    </row>
    <row r="80" spans="1:10" ht="67.5" customHeight="1" x14ac:dyDescent="0.35">
      <c r="A80" s="51"/>
      <c r="B80" s="51"/>
      <c r="C80" s="52"/>
      <c r="D80" s="51"/>
      <c r="E80" s="13"/>
      <c r="F80" s="47"/>
      <c r="G80" s="47"/>
      <c r="H80" s="47"/>
      <c r="I80" s="47"/>
      <c r="J80" s="47"/>
    </row>
    <row r="81" spans="1:10" ht="67.5" customHeight="1" x14ac:dyDescent="0.35">
      <c r="A81" s="51"/>
      <c r="B81" s="51"/>
      <c r="C81" s="52"/>
      <c r="D81" s="51"/>
      <c r="E81" s="13"/>
      <c r="F81" s="47"/>
      <c r="G81" s="47"/>
      <c r="H81" s="47"/>
      <c r="I81" s="47"/>
      <c r="J81" s="47"/>
    </row>
    <row r="82" spans="1:10" ht="67.5" customHeight="1" x14ac:dyDescent="0.35">
      <c r="A82" s="51"/>
      <c r="B82" s="51"/>
      <c r="C82" s="52"/>
      <c r="D82" s="51"/>
      <c r="E82" s="13"/>
      <c r="F82" s="47"/>
      <c r="G82" s="47"/>
      <c r="H82" s="47"/>
      <c r="I82" s="47"/>
      <c r="J82" s="47"/>
    </row>
    <row r="83" spans="1:10" ht="67.5" customHeight="1" x14ac:dyDescent="0.35">
      <c r="A83" s="51"/>
      <c r="B83" s="51"/>
      <c r="C83" s="52"/>
      <c r="D83" s="51"/>
      <c r="E83" s="13"/>
      <c r="F83" s="47"/>
      <c r="G83" s="47"/>
      <c r="H83" s="47"/>
      <c r="I83" s="47"/>
      <c r="J83" s="47"/>
    </row>
    <row r="84" spans="1:10" ht="67.5" customHeight="1" x14ac:dyDescent="0.35">
      <c r="A84" s="56"/>
      <c r="B84" s="51"/>
      <c r="C84" s="57"/>
      <c r="D84" s="56"/>
      <c r="E84" s="13"/>
      <c r="F84" s="47"/>
      <c r="G84" s="47"/>
      <c r="H84" s="47"/>
      <c r="I84" s="47"/>
      <c r="J84" s="47"/>
    </row>
    <row r="85" spans="1:10" ht="67.5" customHeight="1" x14ac:dyDescent="0.35">
      <c r="A85" s="51"/>
      <c r="B85" s="51"/>
      <c r="C85" s="52"/>
      <c r="D85" s="51"/>
      <c r="E85" s="13"/>
      <c r="F85" s="47"/>
      <c r="G85" s="47"/>
      <c r="H85" s="47"/>
      <c r="I85" s="47"/>
      <c r="J85" s="47"/>
    </row>
    <row r="86" spans="1:10" ht="67.5" customHeight="1" x14ac:dyDescent="0.35">
      <c r="A86" s="51"/>
      <c r="B86" s="51"/>
      <c r="C86" s="52"/>
      <c r="D86" s="51"/>
      <c r="E86" s="13"/>
      <c r="F86" s="47"/>
      <c r="G86" s="47"/>
      <c r="H86" s="47"/>
      <c r="I86" s="47"/>
      <c r="J86" s="47"/>
    </row>
    <row r="87" spans="1:10" ht="67.5" customHeight="1" x14ac:dyDescent="0.35">
      <c r="A87" s="51"/>
      <c r="B87" s="51"/>
      <c r="C87" s="52"/>
      <c r="D87" s="51"/>
      <c r="E87" s="13"/>
      <c r="F87" s="47"/>
      <c r="G87" s="47"/>
      <c r="H87" s="47"/>
      <c r="I87" s="47"/>
      <c r="J87" s="47"/>
    </row>
    <row r="88" spans="1:10" ht="67.5" customHeight="1" x14ac:dyDescent="0.35">
      <c r="A88" s="51"/>
      <c r="B88" s="51"/>
      <c r="C88" s="52"/>
      <c r="D88" s="51"/>
      <c r="E88" s="13"/>
      <c r="F88" s="47"/>
      <c r="G88" s="47"/>
      <c r="H88" s="47"/>
      <c r="I88" s="47"/>
      <c r="J88" s="47"/>
    </row>
    <row r="89" spans="1:10" ht="67.5" customHeight="1" x14ac:dyDescent="0.35">
      <c r="A89" s="51"/>
      <c r="B89" s="51"/>
      <c r="C89" s="52"/>
      <c r="D89" s="51"/>
      <c r="E89" s="13"/>
      <c r="F89" s="47"/>
      <c r="G89" s="47"/>
      <c r="H89" s="47"/>
      <c r="I89" s="47"/>
      <c r="J89" s="47"/>
    </row>
    <row r="90" spans="1:10" ht="67.5" customHeight="1" x14ac:dyDescent="0.35">
      <c r="A90" s="51"/>
      <c r="B90" s="51"/>
      <c r="C90" s="52"/>
      <c r="D90" s="51"/>
      <c r="E90" s="13"/>
      <c r="F90" s="47"/>
      <c r="G90" s="47"/>
      <c r="H90" s="47"/>
      <c r="I90" s="47"/>
      <c r="J90" s="47"/>
    </row>
    <row r="91" spans="1:10" ht="67.5" customHeight="1" x14ac:dyDescent="0.35">
      <c r="A91" s="51"/>
      <c r="B91" s="51"/>
      <c r="C91" s="52"/>
      <c r="D91" s="51"/>
      <c r="E91" s="13"/>
      <c r="F91" s="47"/>
      <c r="G91" s="47"/>
      <c r="H91" s="47"/>
      <c r="I91" s="47"/>
      <c r="J91" s="47"/>
    </row>
    <row r="92" spans="1:10" ht="67.5" customHeight="1" x14ac:dyDescent="0.35">
      <c r="A92" s="51"/>
      <c r="B92" s="51"/>
      <c r="C92" s="52"/>
      <c r="D92" s="51"/>
      <c r="E92" s="13"/>
      <c r="F92" s="47"/>
      <c r="G92" s="47"/>
      <c r="H92" s="47"/>
      <c r="I92" s="47"/>
      <c r="J92" s="47"/>
    </row>
    <row r="93" spans="1:10" ht="67.5" customHeight="1" x14ac:dyDescent="0.35">
      <c r="A93" s="51"/>
      <c r="B93" s="51"/>
      <c r="C93" s="52"/>
      <c r="D93" s="51"/>
      <c r="E93" s="13"/>
      <c r="F93" s="47"/>
      <c r="G93" s="47"/>
      <c r="H93" s="47"/>
      <c r="I93" s="47"/>
      <c r="J93" s="47"/>
    </row>
    <row r="94" spans="1:10" ht="67.5" customHeight="1" x14ac:dyDescent="0.35">
      <c r="A94" s="51"/>
      <c r="B94" s="51"/>
      <c r="C94" s="52"/>
      <c r="D94" s="51"/>
      <c r="E94" s="13"/>
      <c r="F94" s="47"/>
      <c r="G94" s="47"/>
      <c r="H94" s="47"/>
      <c r="I94" s="47"/>
      <c r="J94" s="47"/>
    </row>
    <row r="95" spans="1:10" ht="67.5" customHeight="1" x14ac:dyDescent="0.35">
      <c r="A95" s="51"/>
      <c r="B95" s="51"/>
      <c r="C95" s="52"/>
      <c r="D95" s="51"/>
      <c r="E95" s="13"/>
      <c r="F95" s="47"/>
      <c r="G95" s="47"/>
      <c r="H95" s="47"/>
      <c r="I95" s="47"/>
      <c r="J95" s="47"/>
    </row>
    <row r="96" spans="1:10" ht="67.5" customHeight="1" x14ac:dyDescent="0.35">
      <c r="A96" s="51"/>
      <c r="B96" s="51"/>
      <c r="C96" s="52"/>
      <c r="D96" s="51"/>
      <c r="E96" s="13"/>
      <c r="F96" s="47"/>
      <c r="G96" s="47"/>
      <c r="H96" s="47"/>
      <c r="I96" s="47"/>
      <c r="J96" s="47"/>
    </row>
    <row r="97" spans="1:10" ht="67.5" customHeight="1" x14ac:dyDescent="0.35">
      <c r="A97" s="51"/>
      <c r="B97" s="51"/>
      <c r="C97" s="52"/>
      <c r="D97" s="51"/>
      <c r="E97" s="13"/>
      <c r="F97" s="47"/>
      <c r="G97" s="47"/>
      <c r="H97" s="47"/>
      <c r="I97" s="47"/>
      <c r="J97" s="47"/>
    </row>
    <row r="98" spans="1:10" ht="67.5" customHeight="1" x14ac:dyDescent="0.35">
      <c r="A98" s="51"/>
      <c r="B98" s="51"/>
      <c r="C98" s="52"/>
      <c r="D98" s="51"/>
      <c r="E98" s="13"/>
      <c r="F98" s="47"/>
      <c r="G98" s="47"/>
      <c r="H98" s="47"/>
      <c r="I98" s="47"/>
      <c r="J98" s="47"/>
    </row>
    <row r="99" spans="1:10" ht="67.5" customHeight="1" x14ac:dyDescent="0.35">
      <c r="A99" s="51"/>
      <c r="B99" s="51"/>
      <c r="C99" s="52"/>
      <c r="D99" s="51"/>
      <c r="E99" s="13"/>
      <c r="F99" s="47"/>
      <c r="G99" s="47"/>
      <c r="H99" s="47"/>
      <c r="I99" s="47"/>
      <c r="J99" s="47"/>
    </row>
    <row r="100" spans="1:10" ht="67.5" customHeight="1" x14ac:dyDescent="0.35">
      <c r="A100" s="51"/>
      <c r="B100" s="51"/>
      <c r="C100" s="52"/>
      <c r="D100" s="51"/>
      <c r="E100" s="13"/>
      <c r="F100" s="47"/>
      <c r="G100" s="47"/>
      <c r="H100" s="47"/>
      <c r="I100" s="47"/>
      <c r="J100" s="47"/>
    </row>
    <row r="101" spans="1:10" ht="67.5" customHeight="1" x14ac:dyDescent="0.35">
      <c r="A101" s="51"/>
      <c r="B101" s="51"/>
      <c r="C101" s="52"/>
      <c r="D101" s="51"/>
      <c r="E101" s="13"/>
      <c r="F101" s="47"/>
      <c r="G101" s="47"/>
      <c r="H101" s="47"/>
      <c r="I101" s="47"/>
      <c r="J101" s="47"/>
    </row>
    <row r="102" spans="1:10" ht="67.5" customHeight="1" x14ac:dyDescent="0.35">
      <c r="A102" s="51"/>
      <c r="B102" s="51"/>
      <c r="C102" s="52"/>
      <c r="D102" s="51"/>
      <c r="E102" s="13"/>
      <c r="F102" s="47"/>
      <c r="G102" s="47"/>
      <c r="H102" s="47"/>
      <c r="I102" s="47"/>
      <c r="J102" s="47"/>
    </row>
    <row r="103" spans="1:10" ht="67.5" customHeight="1" x14ac:dyDescent="0.35">
      <c r="A103" s="51"/>
      <c r="B103" s="51"/>
      <c r="C103" s="52"/>
      <c r="D103" s="51"/>
      <c r="E103" s="13"/>
      <c r="F103" s="47"/>
      <c r="G103" s="47"/>
      <c r="H103" s="47"/>
      <c r="I103" s="47"/>
      <c r="J103" s="47"/>
    </row>
    <row r="104" spans="1:10" ht="67.5" customHeight="1" x14ac:dyDescent="0.35">
      <c r="A104" s="51"/>
      <c r="B104" s="51"/>
      <c r="C104" s="52"/>
      <c r="D104" s="51"/>
      <c r="E104" s="13"/>
      <c r="F104" s="47"/>
      <c r="G104" s="47"/>
      <c r="H104" s="47"/>
      <c r="I104" s="47"/>
      <c r="J104" s="47"/>
    </row>
    <row r="105" spans="1:10" ht="67.5" customHeight="1" x14ac:dyDescent="0.35">
      <c r="A105" s="51"/>
      <c r="B105" s="51"/>
      <c r="C105" s="52"/>
      <c r="D105" s="51"/>
      <c r="E105" s="13"/>
      <c r="F105" s="47"/>
      <c r="G105" s="47"/>
      <c r="H105" s="47"/>
      <c r="I105" s="47"/>
      <c r="J105" s="47"/>
    </row>
    <row r="106" spans="1:10" ht="67.5" customHeight="1" x14ac:dyDescent="0.35">
      <c r="A106" s="51"/>
      <c r="B106" s="51"/>
      <c r="C106" s="52"/>
      <c r="D106" s="51"/>
      <c r="E106" s="13"/>
      <c r="F106" s="47"/>
      <c r="G106" s="47"/>
      <c r="H106" s="47"/>
      <c r="I106" s="47"/>
      <c r="J106" s="47"/>
    </row>
    <row r="107" spans="1:10" ht="67.5" customHeight="1" x14ac:dyDescent="0.35">
      <c r="A107" s="51"/>
      <c r="B107" s="51"/>
      <c r="C107" s="52"/>
      <c r="D107" s="51"/>
      <c r="E107" s="13"/>
      <c r="F107" s="47"/>
      <c r="G107" s="47"/>
      <c r="H107" s="47"/>
      <c r="I107" s="47"/>
      <c r="J107" s="47"/>
    </row>
    <row r="108" spans="1:10" ht="67.5" customHeight="1" x14ac:dyDescent="0.35">
      <c r="A108" s="51"/>
      <c r="B108" s="51"/>
      <c r="C108" s="52"/>
      <c r="D108" s="51"/>
      <c r="E108" s="13"/>
      <c r="F108" s="47"/>
      <c r="G108" s="47"/>
      <c r="H108" s="47"/>
      <c r="I108" s="47"/>
      <c r="J108" s="47"/>
    </row>
    <row r="109" spans="1:10" ht="67.5" customHeight="1" x14ac:dyDescent="0.35">
      <c r="A109" s="51"/>
      <c r="B109" s="51"/>
      <c r="C109" s="52"/>
      <c r="D109" s="51"/>
      <c r="E109" s="13"/>
      <c r="F109" s="47"/>
      <c r="G109" s="47"/>
      <c r="H109" s="47"/>
      <c r="I109" s="47"/>
      <c r="J109" s="47"/>
    </row>
    <row r="110" spans="1:10" ht="67.5" customHeight="1" x14ac:dyDescent="0.35">
      <c r="A110" s="51"/>
      <c r="B110" s="51"/>
      <c r="C110" s="52"/>
      <c r="D110" s="51"/>
      <c r="E110" s="13"/>
      <c r="F110" s="47"/>
      <c r="G110" s="47"/>
      <c r="H110" s="47"/>
      <c r="I110" s="47"/>
      <c r="J110" s="47"/>
    </row>
    <row r="111" spans="1:10" ht="67.5" customHeight="1" x14ac:dyDescent="0.35">
      <c r="A111" s="51"/>
      <c r="B111" s="51"/>
      <c r="C111" s="52"/>
      <c r="D111" s="51"/>
      <c r="E111" s="13"/>
      <c r="F111" s="47"/>
      <c r="G111" s="47"/>
      <c r="H111" s="47"/>
      <c r="I111" s="47"/>
      <c r="J111" s="47"/>
    </row>
    <row r="112" spans="1:10" ht="67.5" customHeight="1" x14ac:dyDescent="0.35">
      <c r="A112" s="51"/>
      <c r="B112" s="51"/>
      <c r="C112" s="52"/>
      <c r="D112" s="51"/>
      <c r="E112" s="13"/>
      <c r="F112" s="47"/>
      <c r="G112" s="47"/>
      <c r="H112" s="47"/>
      <c r="I112" s="47"/>
      <c r="J112" s="47"/>
    </row>
    <row r="113" spans="1:10" ht="67.5" customHeight="1" x14ac:dyDescent="0.35">
      <c r="A113" s="51"/>
      <c r="B113" s="51"/>
      <c r="C113" s="52"/>
      <c r="D113" s="51"/>
      <c r="E113" s="13"/>
      <c r="F113" s="47"/>
      <c r="G113" s="47"/>
      <c r="H113" s="47"/>
      <c r="I113" s="47"/>
      <c r="J113" s="47"/>
    </row>
    <row r="114" spans="1:10" ht="67.5" customHeight="1" x14ac:dyDescent="0.35">
      <c r="A114" s="51"/>
      <c r="B114" s="51"/>
      <c r="C114" s="52"/>
      <c r="D114" s="51"/>
      <c r="E114" s="13"/>
      <c r="F114" s="47"/>
      <c r="G114" s="47"/>
      <c r="H114" s="47"/>
      <c r="I114" s="47"/>
      <c r="J114" s="47"/>
    </row>
    <row r="115" spans="1:10" ht="67.5" customHeight="1" x14ac:dyDescent="0.35">
      <c r="A115" s="51"/>
      <c r="B115" s="51"/>
      <c r="C115" s="52"/>
      <c r="D115" s="51"/>
      <c r="E115" s="13"/>
      <c r="F115" s="47"/>
      <c r="G115" s="47"/>
      <c r="H115" s="47"/>
      <c r="I115" s="47"/>
      <c r="J115" s="47"/>
    </row>
    <row r="116" spans="1:10" ht="67.5" customHeight="1" x14ac:dyDescent="0.35">
      <c r="A116" s="51"/>
      <c r="B116" s="51"/>
      <c r="C116" s="52"/>
      <c r="D116" s="51"/>
      <c r="E116" s="13"/>
      <c r="F116" s="47"/>
      <c r="G116" s="47"/>
      <c r="H116" s="47"/>
      <c r="I116" s="47"/>
      <c r="J116" s="47"/>
    </row>
    <row r="117" spans="1:10" ht="67.5" customHeight="1" x14ac:dyDescent="0.35">
      <c r="A117" s="51"/>
      <c r="B117" s="51"/>
      <c r="C117" s="52"/>
      <c r="D117" s="51"/>
      <c r="E117" s="13"/>
      <c r="F117" s="47"/>
      <c r="G117" s="47"/>
      <c r="H117" s="47"/>
      <c r="I117" s="47"/>
      <c r="J117" s="47"/>
    </row>
    <row r="118" spans="1:10" ht="67.5" customHeight="1" x14ac:dyDescent="0.35">
      <c r="A118" s="51"/>
      <c r="B118" s="51"/>
      <c r="C118" s="52"/>
      <c r="D118" s="51"/>
      <c r="E118" s="13"/>
      <c r="F118" s="47"/>
      <c r="G118" s="47"/>
      <c r="H118" s="47"/>
      <c r="I118" s="47"/>
      <c r="J118" s="47"/>
    </row>
    <row r="119" spans="1:10" ht="67.5" customHeight="1" x14ac:dyDescent="0.35">
      <c r="A119" s="51"/>
      <c r="B119" s="51"/>
      <c r="C119" s="52"/>
      <c r="D119" s="51"/>
      <c r="E119" s="13"/>
      <c r="F119" s="47"/>
      <c r="G119" s="47"/>
      <c r="H119" s="47"/>
      <c r="I119" s="47"/>
      <c r="J119" s="47"/>
    </row>
    <row r="120" spans="1:10" ht="67.5" customHeight="1" x14ac:dyDescent="0.35">
      <c r="A120" s="51"/>
      <c r="B120" s="51"/>
      <c r="C120" s="52"/>
      <c r="D120" s="51"/>
      <c r="E120" s="13"/>
      <c r="F120" s="47"/>
      <c r="G120" s="47"/>
      <c r="H120" s="47"/>
      <c r="I120" s="47"/>
      <c r="J120" s="47"/>
    </row>
    <row r="121" spans="1:10" ht="67.5" customHeight="1" x14ac:dyDescent="0.35">
      <c r="A121" s="51"/>
      <c r="B121" s="51"/>
      <c r="C121" s="52"/>
      <c r="D121" s="51"/>
      <c r="E121" s="13"/>
      <c r="F121" s="47"/>
      <c r="G121" s="47"/>
      <c r="H121" s="47"/>
      <c r="I121" s="47"/>
      <c r="J121" s="47"/>
    </row>
    <row r="122" spans="1:10" ht="67.5" customHeight="1" x14ac:dyDescent="0.35">
      <c r="A122" s="51"/>
      <c r="B122" s="51"/>
      <c r="C122" s="52"/>
      <c r="D122" s="51"/>
      <c r="E122" s="13"/>
      <c r="F122" s="47"/>
      <c r="G122" s="47"/>
      <c r="H122" s="47"/>
      <c r="I122" s="47"/>
      <c r="J122" s="47"/>
    </row>
    <row r="123" spans="1:10" ht="67.5" customHeight="1" x14ac:dyDescent="0.35">
      <c r="A123" s="51"/>
      <c r="B123" s="51"/>
      <c r="C123" s="52"/>
      <c r="D123" s="51"/>
      <c r="E123" s="13"/>
      <c r="F123" s="47"/>
      <c r="G123" s="47"/>
      <c r="H123" s="47"/>
      <c r="I123" s="47"/>
      <c r="J123" s="47"/>
    </row>
    <row r="124" spans="1:10" ht="67.5" customHeight="1" x14ac:dyDescent="0.35">
      <c r="A124" s="51"/>
      <c r="B124" s="51"/>
      <c r="C124" s="52"/>
      <c r="D124" s="51"/>
      <c r="E124" s="13"/>
      <c r="F124" s="47"/>
      <c r="G124" s="47"/>
      <c r="H124" s="47"/>
      <c r="I124" s="47"/>
      <c r="J124" s="47"/>
    </row>
    <row r="125" spans="1:10" ht="67.5" customHeight="1" x14ac:dyDescent="0.35">
      <c r="A125" s="51"/>
      <c r="B125" s="51"/>
      <c r="C125" s="52"/>
      <c r="D125" s="51"/>
      <c r="E125" s="13"/>
      <c r="F125" s="47"/>
      <c r="G125" s="47"/>
      <c r="H125" s="47"/>
      <c r="I125" s="47"/>
      <c r="J125" s="47"/>
    </row>
    <row r="126" spans="1:10" ht="67.5" customHeight="1" x14ac:dyDescent="0.35">
      <c r="A126" s="51"/>
      <c r="B126" s="51"/>
      <c r="C126" s="52"/>
      <c r="D126" s="51"/>
      <c r="E126" s="13"/>
      <c r="F126" s="47"/>
      <c r="G126" s="47"/>
      <c r="H126" s="47"/>
      <c r="I126" s="47"/>
      <c r="J126" s="47"/>
    </row>
    <row r="127" spans="1:10" ht="67.5" customHeight="1" x14ac:dyDescent="0.35">
      <c r="A127" s="51"/>
      <c r="B127" s="51"/>
      <c r="C127" s="52"/>
      <c r="D127" s="51"/>
      <c r="E127" s="13"/>
      <c r="F127" s="47"/>
      <c r="G127" s="47"/>
      <c r="H127" s="47"/>
      <c r="I127" s="47"/>
      <c r="J127" s="47"/>
    </row>
    <row r="128" spans="1:10" ht="67.5" customHeight="1" x14ac:dyDescent="0.35">
      <c r="A128" s="51"/>
      <c r="B128" s="51"/>
      <c r="C128" s="52"/>
      <c r="D128" s="51"/>
      <c r="E128" s="13"/>
      <c r="F128" s="47"/>
      <c r="G128" s="47"/>
      <c r="H128" s="47"/>
      <c r="I128" s="47"/>
      <c r="J128" s="47"/>
    </row>
    <row r="129" spans="1:10" ht="67.5" customHeight="1" x14ac:dyDescent="0.35">
      <c r="A129" s="51"/>
      <c r="B129" s="51"/>
      <c r="C129" s="52"/>
      <c r="D129" s="51"/>
      <c r="E129" s="13"/>
      <c r="F129" s="47"/>
      <c r="G129" s="47"/>
      <c r="H129" s="47"/>
      <c r="I129" s="47"/>
      <c r="J129" s="47"/>
    </row>
    <row r="130" spans="1:10" ht="67.5" customHeight="1" x14ac:dyDescent="0.35">
      <c r="A130" s="51"/>
      <c r="B130" s="51"/>
      <c r="C130" s="52"/>
      <c r="D130" s="51"/>
      <c r="E130" s="13"/>
      <c r="F130" s="47"/>
      <c r="G130" s="47"/>
      <c r="H130" s="47"/>
      <c r="I130" s="47"/>
      <c r="J130" s="47"/>
    </row>
    <row r="131" spans="1:10" ht="67.5" customHeight="1" x14ac:dyDescent="0.35">
      <c r="A131" s="51"/>
      <c r="B131" s="51"/>
      <c r="C131" s="52"/>
      <c r="D131" s="51"/>
      <c r="E131" s="13"/>
      <c r="F131" s="47"/>
      <c r="G131" s="47"/>
      <c r="H131" s="47"/>
      <c r="I131" s="47"/>
      <c r="J131" s="47"/>
    </row>
    <row r="132" spans="1:10" ht="67.5" customHeight="1" x14ac:dyDescent="0.35">
      <c r="A132" s="51"/>
      <c r="B132" s="51"/>
      <c r="C132" s="52"/>
      <c r="D132" s="51"/>
      <c r="E132" s="13"/>
      <c r="F132" s="47"/>
      <c r="G132" s="47"/>
      <c r="H132" s="47"/>
      <c r="I132" s="47"/>
      <c r="J132" s="47"/>
    </row>
    <row r="133" spans="1:10" ht="67.5" customHeight="1" x14ac:dyDescent="0.35">
      <c r="A133" s="51"/>
      <c r="B133" s="51"/>
      <c r="C133" s="52"/>
      <c r="D133" s="51"/>
      <c r="E133" s="13"/>
      <c r="F133" s="47"/>
      <c r="G133" s="47"/>
      <c r="H133" s="47"/>
      <c r="I133" s="47"/>
      <c r="J133" s="47"/>
    </row>
    <row r="134" spans="1:10" ht="67.5" customHeight="1" x14ac:dyDescent="0.35">
      <c r="A134" s="51"/>
      <c r="B134" s="51"/>
      <c r="C134" s="52"/>
      <c r="D134" s="51"/>
      <c r="E134" s="13"/>
      <c r="F134" s="47"/>
      <c r="G134" s="47"/>
      <c r="H134" s="47"/>
      <c r="I134" s="47"/>
      <c r="J134" s="47"/>
    </row>
    <row r="135" spans="1:10" ht="67.5" customHeight="1" x14ac:dyDescent="0.35">
      <c r="A135" s="51"/>
      <c r="B135" s="51"/>
      <c r="C135" s="52"/>
      <c r="D135" s="51"/>
      <c r="E135" s="13"/>
      <c r="F135" s="47"/>
      <c r="G135" s="47"/>
      <c r="H135" s="47"/>
      <c r="I135" s="47"/>
      <c r="J135" s="47"/>
    </row>
    <row r="136" spans="1:10" ht="67.5" customHeight="1" x14ac:dyDescent="0.35">
      <c r="A136" s="51"/>
      <c r="B136" s="51"/>
      <c r="C136" s="52"/>
      <c r="D136" s="51"/>
      <c r="E136" s="13"/>
      <c r="F136" s="47"/>
      <c r="G136" s="47"/>
      <c r="H136" s="47"/>
      <c r="I136" s="47"/>
      <c r="J136" s="47"/>
    </row>
    <row r="137" spans="1:10" ht="67.5" customHeight="1" x14ac:dyDescent="0.35">
      <c r="A137" s="51"/>
      <c r="B137" s="51"/>
      <c r="C137" s="52"/>
      <c r="D137" s="51"/>
      <c r="E137" s="13"/>
      <c r="F137" s="47"/>
      <c r="G137" s="47"/>
      <c r="H137" s="47"/>
      <c r="I137" s="47"/>
      <c r="J137" s="47"/>
    </row>
    <row r="138" spans="1:10" ht="67.5" customHeight="1" x14ac:dyDescent="0.35">
      <c r="A138" s="51"/>
      <c r="B138" s="51"/>
      <c r="C138" s="52"/>
      <c r="D138" s="51"/>
      <c r="E138" s="13"/>
      <c r="F138" s="47"/>
      <c r="G138" s="47"/>
      <c r="H138" s="47"/>
      <c r="I138" s="47"/>
      <c r="J138" s="47"/>
    </row>
    <row r="139" spans="1:10" ht="67.5" customHeight="1" x14ac:dyDescent="0.35">
      <c r="A139" s="51"/>
      <c r="B139" s="51"/>
      <c r="C139" s="52"/>
      <c r="D139" s="51"/>
      <c r="E139" s="13"/>
      <c r="F139" s="47"/>
      <c r="G139" s="47"/>
      <c r="H139" s="47"/>
      <c r="I139" s="47"/>
      <c r="J139" s="47"/>
    </row>
    <row r="140" spans="1:10" ht="67.5" customHeight="1" x14ac:dyDescent="0.35">
      <c r="A140" s="51"/>
      <c r="B140" s="51"/>
      <c r="C140" s="52"/>
      <c r="D140" s="51"/>
      <c r="E140" s="13"/>
      <c r="F140" s="47"/>
      <c r="G140" s="47"/>
      <c r="H140" s="47"/>
      <c r="I140" s="47"/>
      <c r="J140" s="47"/>
    </row>
    <row r="141" spans="1:10" ht="67.5" customHeight="1" x14ac:dyDescent="0.35">
      <c r="A141" s="51"/>
      <c r="B141" s="51"/>
      <c r="C141" s="52"/>
      <c r="D141" s="51"/>
      <c r="E141" s="13"/>
      <c r="F141" s="47"/>
      <c r="G141" s="47"/>
      <c r="H141" s="47"/>
      <c r="I141" s="47"/>
      <c r="J141" s="47"/>
    </row>
    <row r="142" spans="1:10" ht="67.5" customHeight="1" x14ac:dyDescent="0.35">
      <c r="A142" s="51"/>
      <c r="B142" s="51"/>
      <c r="C142" s="52"/>
      <c r="D142" s="51"/>
      <c r="E142" s="13"/>
      <c r="F142" s="47"/>
      <c r="G142" s="47"/>
      <c r="H142" s="47"/>
      <c r="I142" s="47"/>
      <c r="J142" s="47"/>
    </row>
    <row r="143" spans="1:10" ht="67.5" customHeight="1" x14ac:dyDescent="0.35">
      <c r="A143" s="51"/>
      <c r="B143" s="51"/>
      <c r="C143" s="52"/>
      <c r="D143" s="51"/>
      <c r="E143" s="13"/>
      <c r="F143" s="47"/>
      <c r="G143" s="47"/>
      <c r="H143" s="47"/>
      <c r="I143" s="47"/>
      <c r="J143" s="47"/>
    </row>
    <row r="144" spans="1:10" ht="67.5" customHeight="1" x14ac:dyDescent="0.35">
      <c r="A144" s="51"/>
      <c r="B144" s="51"/>
      <c r="C144" s="52"/>
      <c r="D144" s="51"/>
      <c r="E144" s="13"/>
      <c r="F144" s="47"/>
      <c r="G144" s="47"/>
      <c r="H144" s="47"/>
      <c r="I144" s="47"/>
      <c r="J144" s="47"/>
    </row>
    <row r="145" spans="1:10" ht="67.5" customHeight="1" x14ac:dyDescent="0.35">
      <c r="A145" s="51"/>
      <c r="B145" s="51"/>
      <c r="C145" s="52"/>
      <c r="D145" s="51"/>
      <c r="E145" s="13"/>
      <c r="F145" s="47"/>
      <c r="G145" s="47"/>
      <c r="H145" s="47"/>
      <c r="I145" s="47"/>
      <c r="J145" s="47"/>
    </row>
    <row r="146" spans="1:10" ht="67.5" customHeight="1" x14ac:dyDescent="0.35">
      <c r="A146" s="51"/>
      <c r="B146" s="51"/>
      <c r="C146" s="52"/>
      <c r="D146" s="51"/>
      <c r="E146" s="13"/>
      <c r="F146" s="47"/>
      <c r="G146" s="47"/>
      <c r="H146" s="47"/>
      <c r="I146" s="47"/>
      <c r="J146" s="47"/>
    </row>
    <row r="147" spans="1:10" ht="67.5" customHeight="1" x14ac:dyDescent="0.35">
      <c r="A147" s="51"/>
      <c r="B147" s="51"/>
      <c r="C147" s="52"/>
      <c r="D147" s="51"/>
      <c r="E147" s="13"/>
      <c r="F147" s="47"/>
      <c r="G147" s="47"/>
      <c r="H147" s="47"/>
      <c r="I147" s="47"/>
      <c r="J147" s="47"/>
    </row>
    <row r="148" spans="1:10" ht="67.5" customHeight="1" x14ac:dyDescent="0.35">
      <c r="A148" s="51"/>
      <c r="B148" s="51"/>
      <c r="C148" s="52"/>
      <c r="D148" s="51"/>
      <c r="E148" s="13"/>
      <c r="F148" s="47"/>
      <c r="G148" s="47"/>
      <c r="H148" s="47"/>
      <c r="I148" s="47"/>
      <c r="J148" s="47"/>
    </row>
    <row r="149" spans="1:10" ht="67.5" customHeight="1" x14ac:dyDescent="0.35">
      <c r="A149" s="51"/>
      <c r="B149" s="51"/>
      <c r="C149" s="52"/>
      <c r="D149" s="51"/>
      <c r="E149" s="13"/>
      <c r="F149" s="47"/>
      <c r="G149" s="47"/>
      <c r="H149" s="47"/>
      <c r="I149" s="47"/>
      <c r="J149" s="47"/>
    </row>
    <row r="150" spans="1:10" ht="67.5" customHeight="1" x14ac:dyDescent="0.35">
      <c r="A150" s="51"/>
      <c r="B150" s="51"/>
      <c r="C150" s="52"/>
      <c r="D150" s="51"/>
      <c r="E150" s="13"/>
      <c r="F150" s="47"/>
      <c r="G150" s="47"/>
      <c r="H150" s="47"/>
      <c r="I150" s="47"/>
      <c r="J150" s="47"/>
    </row>
    <row r="151" spans="1:10" ht="67.5" customHeight="1" x14ac:dyDescent="0.35">
      <c r="A151" s="51"/>
      <c r="B151" s="51"/>
      <c r="C151" s="52"/>
      <c r="D151" s="51"/>
      <c r="E151" s="13"/>
      <c r="F151" s="47"/>
      <c r="G151" s="47"/>
      <c r="H151" s="47"/>
      <c r="I151" s="47"/>
      <c r="J151" s="47"/>
    </row>
    <row r="152" spans="1:10" ht="67.5" customHeight="1" x14ac:dyDescent="0.35">
      <c r="A152" s="51"/>
      <c r="B152" s="51"/>
      <c r="C152" s="52"/>
      <c r="D152" s="51"/>
      <c r="E152" s="13"/>
      <c r="F152" s="47"/>
      <c r="G152" s="47"/>
      <c r="H152" s="47"/>
      <c r="I152" s="47"/>
      <c r="J152" s="47"/>
    </row>
    <row r="153" spans="1:10" ht="67.5" customHeight="1" x14ac:dyDescent="0.35">
      <c r="A153" s="51"/>
      <c r="B153" s="51"/>
      <c r="C153" s="52"/>
      <c r="D153" s="51"/>
      <c r="E153" s="13"/>
      <c r="F153" s="47"/>
      <c r="G153" s="47"/>
      <c r="H153" s="47"/>
      <c r="I153" s="47"/>
      <c r="J153" s="47"/>
    </row>
    <row r="154" spans="1:10" ht="67.5" customHeight="1" x14ac:dyDescent="0.35">
      <c r="A154" s="51"/>
      <c r="B154" s="51"/>
      <c r="C154" s="52"/>
      <c r="D154" s="51"/>
      <c r="E154" s="13"/>
      <c r="F154" s="47"/>
      <c r="G154" s="47"/>
      <c r="H154" s="47"/>
      <c r="I154" s="47"/>
      <c r="J154" s="47"/>
    </row>
    <row r="155" spans="1:10" ht="67.5" customHeight="1" x14ac:dyDescent="0.35">
      <c r="A155" s="51"/>
      <c r="B155" s="51"/>
      <c r="C155" s="52"/>
      <c r="D155" s="51"/>
      <c r="E155" s="13"/>
      <c r="F155" s="47"/>
      <c r="G155" s="47"/>
      <c r="H155" s="47"/>
      <c r="I155" s="47"/>
      <c r="J155" s="47"/>
    </row>
    <row r="156" spans="1:10" ht="67.5" customHeight="1" x14ac:dyDescent="0.35">
      <c r="A156" s="51"/>
      <c r="B156" s="51"/>
      <c r="C156" s="52"/>
      <c r="D156" s="51"/>
      <c r="E156" s="13"/>
      <c r="F156" s="47"/>
      <c r="G156" s="47"/>
      <c r="H156" s="47"/>
      <c r="I156" s="47"/>
      <c r="J156" s="47"/>
    </row>
    <row r="157" spans="1:10" ht="67.5" customHeight="1" x14ac:dyDescent="0.35">
      <c r="A157" s="51"/>
      <c r="B157" s="51"/>
      <c r="C157" s="52"/>
      <c r="D157" s="51"/>
      <c r="E157" s="13"/>
      <c r="F157" s="47"/>
      <c r="G157" s="47"/>
      <c r="H157" s="47"/>
      <c r="I157" s="47"/>
      <c r="J157" s="47"/>
    </row>
    <row r="158" spans="1:10" ht="67.5" customHeight="1" x14ac:dyDescent="0.35">
      <c r="A158" s="51"/>
      <c r="B158" s="51"/>
      <c r="C158" s="52"/>
      <c r="D158" s="51"/>
      <c r="E158" s="13"/>
      <c r="F158" s="47"/>
      <c r="G158" s="47"/>
      <c r="H158" s="47"/>
      <c r="I158" s="47"/>
      <c r="J158" s="47"/>
    </row>
    <row r="159" spans="1:10" ht="67.5" customHeight="1" x14ac:dyDescent="0.35">
      <c r="A159" s="51"/>
      <c r="B159" s="51"/>
      <c r="C159" s="52"/>
      <c r="D159" s="51"/>
      <c r="E159" s="13"/>
      <c r="F159" s="47"/>
      <c r="G159" s="47"/>
      <c r="H159" s="47"/>
      <c r="I159" s="47"/>
      <c r="J159" s="47"/>
    </row>
    <row r="160" spans="1:10" ht="67.5" customHeight="1" x14ac:dyDescent="0.35">
      <c r="A160" s="51"/>
      <c r="B160" s="51"/>
      <c r="C160" s="52"/>
      <c r="D160" s="51"/>
      <c r="E160" s="13"/>
      <c r="F160" s="47"/>
      <c r="G160" s="47"/>
      <c r="H160" s="47"/>
      <c r="I160" s="47"/>
      <c r="J160" s="47"/>
    </row>
    <row r="161" spans="1:10" ht="67.5" customHeight="1" x14ac:dyDescent="0.35">
      <c r="A161" s="51"/>
      <c r="B161" s="51"/>
      <c r="C161" s="52"/>
      <c r="D161" s="51"/>
      <c r="E161" s="13"/>
      <c r="F161" s="47"/>
      <c r="G161" s="47"/>
      <c r="H161" s="47"/>
      <c r="I161" s="47"/>
      <c r="J161" s="47"/>
    </row>
    <row r="162" spans="1:10" ht="67.5" customHeight="1" x14ac:dyDescent="0.35">
      <c r="A162" s="51"/>
      <c r="B162" s="51"/>
      <c r="C162" s="52"/>
      <c r="D162" s="51"/>
      <c r="E162" s="13"/>
      <c r="F162" s="47"/>
      <c r="G162" s="47"/>
      <c r="H162" s="47"/>
      <c r="I162" s="47"/>
      <c r="J162" s="47"/>
    </row>
    <row r="163" spans="1:10" ht="67.5" customHeight="1" x14ac:dyDescent="0.35">
      <c r="A163" s="51"/>
      <c r="B163" s="51"/>
      <c r="C163" s="52"/>
      <c r="D163" s="51"/>
      <c r="E163" s="13"/>
      <c r="F163" s="47"/>
      <c r="G163" s="47"/>
      <c r="H163" s="47"/>
      <c r="I163" s="47"/>
      <c r="J163" s="47"/>
    </row>
    <row r="164" spans="1:10" ht="67.5" customHeight="1" x14ac:dyDescent="0.35">
      <c r="A164" s="51"/>
      <c r="B164" s="51"/>
      <c r="C164" s="52"/>
      <c r="D164" s="51"/>
      <c r="E164" s="13"/>
      <c r="F164" s="47"/>
      <c r="G164" s="47"/>
      <c r="H164" s="47"/>
      <c r="I164" s="47"/>
      <c r="J164" s="47"/>
    </row>
    <row r="165" spans="1:10" ht="67.5" customHeight="1" x14ac:dyDescent="0.35">
      <c r="A165" s="51"/>
      <c r="B165" s="51"/>
      <c r="C165" s="52"/>
      <c r="D165" s="51"/>
      <c r="E165" s="13"/>
      <c r="F165" s="47"/>
      <c r="G165" s="47"/>
      <c r="H165" s="47"/>
      <c r="I165" s="47"/>
      <c r="J165" s="47"/>
    </row>
    <row r="166" spans="1:10" ht="67.5" customHeight="1" x14ac:dyDescent="0.35">
      <c r="A166" s="51"/>
      <c r="B166" s="51"/>
      <c r="C166" s="52"/>
      <c r="D166" s="51"/>
      <c r="E166" s="13"/>
      <c r="F166" s="47"/>
      <c r="G166" s="47"/>
      <c r="H166" s="47"/>
      <c r="I166" s="47"/>
      <c r="J166" s="47"/>
    </row>
    <row r="167" spans="1:10" ht="67.5" customHeight="1" x14ac:dyDescent="0.35">
      <c r="A167" s="51"/>
      <c r="B167" s="51"/>
      <c r="C167" s="52"/>
      <c r="D167" s="51"/>
      <c r="E167" s="13"/>
      <c r="F167" s="47"/>
      <c r="G167" s="47"/>
      <c r="H167" s="47"/>
      <c r="I167" s="47"/>
      <c r="J167" s="47"/>
    </row>
    <row r="168" spans="1:10" ht="67.5" customHeight="1" x14ac:dyDescent="0.35">
      <c r="A168" s="51"/>
      <c r="B168" s="51"/>
      <c r="C168" s="52"/>
      <c r="D168" s="51"/>
      <c r="E168" s="13"/>
      <c r="F168" s="47"/>
      <c r="G168" s="47"/>
      <c r="H168" s="47"/>
      <c r="I168" s="47"/>
      <c r="J168" s="47"/>
    </row>
    <row r="169" spans="1:10" ht="67.5" customHeight="1" x14ac:dyDescent="0.35">
      <c r="A169" s="51"/>
      <c r="B169" s="51"/>
      <c r="C169" s="52"/>
      <c r="D169" s="51"/>
      <c r="E169" s="13"/>
      <c r="F169" s="47"/>
      <c r="G169" s="47"/>
      <c r="H169" s="47"/>
      <c r="I169" s="47"/>
      <c r="J169" s="47"/>
    </row>
    <row r="170" spans="1:10" ht="67.5" customHeight="1" x14ac:dyDescent="0.35">
      <c r="A170" s="51"/>
      <c r="B170" s="51"/>
      <c r="C170" s="52"/>
      <c r="D170" s="51"/>
      <c r="E170" s="13"/>
      <c r="F170" s="47"/>
      <c r="G170" s="47"/>
      <c r="H170" s="47"/>
      <c r="I170" s="47"/>
      <c r="J170" s="47"/>
    </row>
    <row r="171" spans="1:10" ht="67.5" customHeight="1" x14ac:dyDescent="0.35">
      <c r="A171" s="51"/>
      <c r="B171" s="51"/>
      <c r="C171" s="52"/>
      <c r="D171" s="51"/>
      <c r="E171" s="13"/>
      <c r="F171" s="47"/>
      <c r="G171" s="47"/>
      <c r="H171" s="47"/>
      <c r="I171" s="47"/>
      <c r="J171" s="47"/>
    </row>
    <row r="172" spans="1:10" ht="67.5" customHeight="1" x14ac:dyDescent="0.35">
      <c r="A172" s="51"/>
      <c r="B172" s="51"/>
      <c r="C172" s="52"/>
      <c r="D172" s="51"/>
      <c r="E172" s="13"/>
      <c r="F172" s="47"/>
      <c r="G172" s="47"/>
      <c r="H172" s="47"/>
      <c r="I172" s="47"/>
      <c r="J172" s="47"/>
    </row>
  </sheetData>
  <sheetProtection algorithmName="SHA-512" hashValue="pCgleF9M4eWtdXjUet5simgYMaES/X+5ARH/xcqx6k+anz4cHyez5LWTqhN+QZWNvwiw+h5nadcmI7+wSPBoiQ==" saltValue="5dXHcSaCuyN7wkbR7yajyQ==" spinCount="100000" sheet="1" selectLockedCells="1"/>
  <mergeCells count="6">
    <mergeCell ref="A6:J6"/>
    <mergeCell ref="A1:J1"/>
    <mergeCell ref="A3:J3"/>
    <mergeCell ref="A4:J4"/>
    <mergeCell ref="A5:J5"/>
    <mergeCell ref="A2:J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6"/>
  <sheetViews>
    <sheetView zoomScale="80" zoomScaleNormal="80" workbookViewId="0">
      <selection activeCell="A4" sqref="A4:A6"/>
    </sheetView>
  </sheetViews>
  <sheetFormatPr defaultColWidth="8.81640625" defaultRowHeight="14.5" x14ac:dyDescent="0.35"/>
  <cols>
    <col min="1" max="1" width="18.81640625" bestFit="1" customWidth="1"/>
    <col min="2" max="2" width="34.81640625" bestFit="1" customWidth="1"/>
    <col min="3" max="3" width="38" bestFit="1" customWidth="1"/>
    <col min="4" max="4" width="39.26953125" bestFit="1" customWidth="1"/>
    <col min="5" max="5" width="38.81640625" customWidth="1"/>
  </cols>
  <sheetData>
    <row r="1" spans="1:5" x14ac:dyDescent="0.35">
      <c r="A1" s="14"/>
      <c r="B1" s="14"/>
      <c r="C1" s="14"/>
      <c r="D1" s="14"/>
    </row>
    <row r="2" spans="1:5" x14ac:dyDescent="0.35">
      <c r="A2" s="14"/>
      <c r="B2" s="14"/>
      <c r="C2" s="14"/>
      <c r="D2" s="14"/>
    </row>
    <row r="3" spans="1:5" ht="30.75" customHeight="1" thickBot="1" x14ac:dyDescent="0.4">
      <c r="A3" s="14"/>
      <c r="B3" s="14"/>
      <c r="C3" s="14"/>
      <c r="D3" s="14"/>
    </row>
    <row r="4" spans="1:5" ht="15.5" x14ac:dyDescent="0.35">
      <c r="A4" s="103" t="s">
        <v>44</v>
      </c>
      <c r="B4" s="81" t="s">
        <v>3</v>
      </c>
      <c r="C4" s="82" t="s">
        <v>2</v>
      </c>
      <c r="D4" s="82" t="s">
        <v>1</v>
      </c>
      <c r="E4" s="83" t="s">
        <v>0</v>
      </c>
    </row>
    <row r="5" spans="1:5" ht="15.5" x14ac:dyDescent="0.35">
      <c r="A5" s="104"/>
      <c r="B5" s="84" t="s">
        <v>7</v>
      </c>
      <c r="C5" s="85" t="s">
        <v>6</v>
      </c>
      <c r="D5" s="85" t="s">
        <v>5</v>
      </c>
      <c r="E5" s="86" t="s">
        <v>4</v>
      </c>
    </row>
    <row r="6" spans="1:5" ht="325.5" customHeight="1" thickBot="1" x14ac:dyDescent="0.4">
      <c r="A6" s="105"/>
      <c r="B6" s="50" t="s">
        <v>48</v>
      </c>
      <c r="C6" s="49" t="s">
        <v>47</v>
      </c>
      <c r="D6" s="49" t="s">
        <v>46</v>
      </c>
      <c r="E6" s="48" t="s">
        <v>45</v>
      </c>
    </row>
  </sheetData>
  <sheetProtection algorithmName="SHA-512" hashValue="97i4jX4IwETL+FLtHZHvG+tNtexNEhuagjoK5poxPhebtJ2FXtdA/+PxpBXBwJ2eF6p3i4r45uz2NNcCY2wFLg==" saltValue="AhZo9jin2Dp/NKhCHdaHPw==" spinCount="100000" sheet="1" selectLockedCells="1"/>
  <mergeCells count="1">
    <mergeCell ref="A4:A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pageSetUpPr fitToPage="1"/>
  </sheetPr>
  <dimension ref="A1:Q81"/>
  <sheetViews>
    <sheetView tabSelected="1" topLeftCell="B30" zoomScale="80" zoomScaleNormal="80" workbookViewId="0">
      <selection activeCell="F42" sqref="F42:K42"/>
    </sheetView>
  </sheetViews>
  <sheetFormatPr defaultColWidth="8.81640625" defaultRowHeight="18.5" x14ac:dyDescent="0.45"/>
  <cols>
    <col min="1" max="1" width="8.81640625" style="2" customWidth="1"/>
    <col min="2" max="2" width="58" style="2" customWidth="1"/>
    <col min="3" max="3" width="22.453125" style="2" customWidth="1"/>
    <col min="4" max="4" width="15.7265625" style="2" customWidth="1"/>
    <col min="5" max="5" width="18.453125" style="2" customWidth="1"/>
    <col min="6" max="6" width="18.81640625" style="2" customWidth="1"/>
    <col min="7" max="7" width="15.26953125" style="2" customWidth="1"/>
    <col min="8" max="8" width="17.81640625" style="2" customWidth="1"/>
    <col min="9" max="9" width="19.1796875" style="2" customWidth="1"/>
    <col min="10" max="10" width="18.453125" style="2" customWidth="1"/>
    <col min="11" max="11" width="17.453125" style="2" customWidth="1"/>
    <col min="12" max="12" width="8.81640625" style="2"/>
    <col min="13" max="13" width="8.81640625" style="6"/>
    <col min="14" max="16384" width="8.81640625" style="2"/>
  </cols>
  <sheetData>
    <row r="1" spans="1:17" ht="72" customHeight="1" thickBot="1" x14ac:dyDescent="0.5">
      <c r="A1" s="1"/>
      <c r="B1" s="106" t="s">
        <v>106</v>
      </c>
      <c r="C1" s="107"/>
      <c r="D1" s="108"/>
      <c r="E1" s="108"/>
      <c r="F1" s="108"/>
      <c r="G1" s="108"/>
      <c r="H1" s="108"/>
      <c r="I1" s="108"/>
      <c r="J1" s="108"/>
      <c r="K1" s="109"/>
    </row>
    <row r="2" spans="1:17" customFormat="1" ht="15" thickBot="1" x14ac:dyDescent="0.4">
      <c r="B2" s="14"/>
      <c r="C2" s="14"/>
      <c r="D2" s="14"/>
      <c r="E2" s="14"/>
      <c r="F2" s="14"/>
      <c r="G2" s="14"/>
      <c r="H2" s="14"/>
      <c r="I2" s="14"/>
      <c r="J2" s="14"/>
      <c r="K2" s="14"/>
      <c r="M2" s="13"/>
    </row>
    <row r="3" spans="1:17" x14ac:dyDescent="0.45">
      <c r="A3" s="1"/>
      <c r="B3" s="10" t="s">
        <v>38</v>
      </c>
      <c r="C3" s="123" t="s">
        <v>113</v>
      </c>
      <c r="D3" s="124"/>
      <c r="E3" s="124"/>
      <c r="F3" s="125"/>
      <c r="G3" s="34" t="s">
        <v>39</v>
      </c>
      <c r="H3" s="59">
        <v>1488</v>
      </c>
      <c r="I3" s="35" t="s">
        <v>41</v>
      </c>
      <c r="J3" s="119">
        <v>44076</v>
      </c>
      <c r="K3" s="120"/>
    </row>
    <row r="4" spans="1:17" ht="19" thickBot="1" x14ac:dyDescent="0.5">
      <c r="A4" s="1"/>
      <c r="B4" s="65" t="s">
        <v>105</v>
      </c>
      <c r="C4" s="126" t="s">
        <v>107</v>
      </c>
      <c r="D4" s="127"/>
      <c r="E4" s="127"/>
      <c r="F4" s="128"/>
      <c r="G4" s="63" t="s">
        <v>40</v>
      </c>
      <c r="H4" s="138" t="s">
        <v>114</v>
      </c>
      <c r="I4" s="139"/>
      <c r="J4" s="139"/>
      <c r="K4" s="140"/>
    </row>
    <row r="5" spans="1:17" x14ac:dyDescent="0.45">
      <c r="A5" s="1"/>
      <c r="B5" s="10" t="s">
        <v>108</v>
      </c>
      <c r="C5" s="135" t="s">
        <v>115</v>
      </c>
      <c r="D5" s="136"/>
      <c r="E5" s="136"/>
      <c r="F5" s="136"/>
      <c r="G5" s="137"/>
      <c r="H5" s="121" t="str">
        <f>"KRA % for "&amp;C4</f>
        <v>KRA % for Individual Contributor</v>
      </c>
      <c r="I5" s="122"/>
      <c r="J5" s="129" t="str">
        <f>IF(C4="People Manager","70%",IF(C4="Individual Contributor","80%",IF(C4="Group Head","60%",0)))</f>
        <v>80%</v>
      </c>
      <c r="K5" s="130"/>
    </row>
    <row r="6" spans="1:17" ht="19" thickBot="1" x14ac:dyDescent="0.5">
      <c r="A6" s="1"/>
      <c r="B6" s="4" t="s">
        <v>42</v>
      </c>
      <c r="C6" s="69" t="s">
        <v>130</v>
      </c>
      <c r="D6" s="69"/>
      <c r="E6" s="69"/>
      <c r="F6" s="61"/>
      <c r="G6" s="64"/>
      <c r="H6" s="131" t="str">
        <f>"Behavioural Competency % for "&amp;C4</f>
        <v>Behavioural Competency % for Individual Contributor</v>
      </c>
      <c r="I6" s="132"/>
      <c r="J6" s="133">
        <f>100%-J5</f>
        <v>0.19999999999999996</v>
      </c>
      <c r="K6" s="134"/>
    </row>
    <row r="7" spans="1:17" ht="19" thickBot="1" x14ac:dyDescent="0.5">
      <c r="A7" s="9"/>
      <c r="B7" s="45"/>
      <c r="C7" s="45"/>
      <c r="D7" s="46"/>
      <c r="E7" s="45"/>
      <c r="F7" s="46"/>
      <c r="G7" s="45"/>
      <c r="H7" s="46"/>
      <c r="I7" s="46"/>
      <c r="J7" s="46"/>
      <c r="K7" s="46"/>
    </row>
    <row r="8" spans="1:17" x14ac:dyDescent="0.45">
      <c r="B8" s="110" t="str">
        <f>"KRAs: "&amp;J5</f>
        <v>KRAs: 80%</v>
      </c>
      <c r="C8" s="111"/>
      <c r="D8" s="112"/>
      <c r="E8" s="112"/>
      <c r="F8" s="112"/>
      <c r="G8" s="112"/>
      <c r="H8" s="112"/>
      <c r="I8" s="113"/>
      <c r="J8" s="113"/>
      <c r="K8" s="114"/>
    </row>
    <row r="9" spans="1:17" ht="19" thickBot="1" x14ac:dyDescent="0.5">
      <c r="B9" s="115"/>
      <c r="C9" s="116"/>
      <c r="D9" s="116"/>
      <c r="E9" s="116"/>
      <c r="F9" s="116"/>
      <c r="G9" s="116"/>
      <c r="H9" s="116"/>
      <c r="I9" s="117"/>
      <c r="J9" s="117"/>
      <c r="K9" s="118"/>
    </row>
    <row r="10" spans="1:17" ht="74" x14ac:dyDescent="0.45">
      <c r="A10" s="2" t="s">
        <v>8</v>
      </c>
      <c r="B10" s="36" t="s">
        <v>43</v>
      </c>
      <c r="C10" s="37" t="s">
        <v>50</v>
      </c>
      <c r="D10" s="37" t="s">
        <v>30</v>
      </c>
      <c r="E10" s="15" t="s">
        <v>36</v>
      </c>
      <c r="F10" s="15" t="s">
        <v>37</v>
      </c>
      <c r="G10" s="88" t="s">
        <v>11</v>
      </c>
      <c r="H10" s="15" t="s">
        <v>9</v>
      </c>
      <c r="I10" s="88" t="s">
        <v>10</v>
      </c>
      <c r="J10" s="16" t="s">
        <v>28</v>
      </c>
      <c r="K10" s="17" t="s">
        <v>29</v>
      </c>
      <c r="L10" s="70"/>
      <c r="M10" s="73"/>
      <c r="N10" s="71"/>
      <c r="O10" s="72"/>
      <c r="Q10" s="1"/>
    </row>
    <row r="11" spans="1:17" ht="41.25" customHeight="1" x14ac:dyDescent="0.45">
      <c r="A11" s="3">
        <v>1</v>
      </c>
      <c r="B11" s="89" t="s">
        <v>53</v>
      </c>
      <c r="C11" s="79" t="s">
        <v>116</v>
      </c>
      <c r="D11" s="90">
        <v>0.1</v>
      </c>
      <c r="E11" s="41"/>
      <c r="F11" s="91" t="s">
        <v>147</v>
      </c>
      <c r="G11" s="40">
        <v>4</v>
      </c>
      <c r="H11" s="41" t="s">
        <v>155</v>
      </c>
      <c r="I11" s="42" t="s">
        <v>14</v>
      </c>
      <c r="J11" s="43">
        <f>+D11*G11/100%</f>
        <v>0.4</v>
      </c>
      <c r="K11" s="44">
        <f>D11*M11/100%</f>
        <v>0.30000000000000004</v>
      </c>
      <c r="L11" s="72"/>
      <c r="M11" s="6">
        <f>VLOOKUP(I11,B47:D52,3,FALSE)</f>
        <v>3</v>
      </c>
      <c r="N11" s="72"/>
      <c r="O11" s="72"/>
    </row>
    <row r="12" spans="1:17" ht="41.25" customHeight="1" x14ac:dyDescent="0.45">
      <c r="A12" s="3">
        <v>2</v>
      </c>
      <c r="B12" s="89" t="s">
        <v>52</v>
      </c>
      <c r="C12" s="79" t="s">
        <v>117</v>
      </c>
      <c r="D12" s="90">
        <v>0.1</v>
      </c>
      <c r="E12" s="41"/>
      <c r="F12" s="39" t="s">
        <v>148</v>
      </c>
      <c r="G12" s="40">
        <v>4</v>
      </c>
      <c r="H12" s="41" t="s">
        <v>156</v>
      </c>
      <c r="I12" s="42" t="s">
        <v>14</v>
      </c>
      <c r="J12" s="43">
        <f>+D12*G12/100%</f>
        <v>0.4</v>
      </c>
      <c r="K12" s="44">
        <f t="shared" ref="K12:K25" si="0">D12*M12/100%</f>
        <v>0.30000000000000004</v>
      </c>
      <c r="L12" s="72"/>
      <c r="M12" s="6">
        <f>VLOOKUP(I12,B47:D52,3,FALSE)</f>
        <v>3</v>
      </c>
      <c r="N12" s="72"/>
      <c r="O12" s="72"/>
    </row>
    <row r="13" spans="1:17" ht="41.25" customHeight="1" x14ac:dyDescent="0.45">
      <c r="A13" s="3">
        <v>3</v>
      </c>
      <c r="B13" s="89" t="s">
        <v>73</v>
      </c>
      <c r="C13" s="79" t="s">
        <v>118</v>
      </c>
      <c r="D13" s="90">
        <v>0.1</v>
      </c>
      <c r="E13" s="41"/>
      <c r="F13" s="39" t="s">
        <v>131</v>
      </c>
      <c r="G13" s="40">
        <v>4</v>
      </c>
      <c r="H13" s="41" t="s">
        <v>157</v>
      </c>
      <c r="I13" s="42" t="s">
        <v>14</v>
      </c>
      <c r="J13" s="43">
        <f t="shared" ref="J13:J25" si="1">+D13*G13/100%</f>
        <v>0.4</v>
      </c>
      <c r="K13" s="44">
        <f t="shared" si="0"/>
        <v>0.30000000000000004</v>
      </c>
      <c r="L13" s="72"/>
      <c r="M13" s="6">
        <f>VLOOKUP(I13,B47:D52,3,FALSE)</f>
        <v>3</v>
      </c>
      <c r="N13" s="72"/>
      <c r="O13" s="72"/>
    </row>
    <row r="14" spans="1:17" ht="41.25" customHeight="1" x14ac:dyDescent="0.45">
      <c r="A14" s="3">
        <v>4</v>
      </c>
      <c r="B14" s="89" t="s">
        <v>104</v>
      </c>
      <c r="C14" s="79" t="s">
        <v>119</v>
      </c>
      <c r="D14" s="90">
        <v>0.05</v>
      </c>
      <c r="E14" s="41"/>
      <c r="F14" s="39" t="s">
        <v>154</v>
      </c>
      <c r="G14" s="40">
        <v>4</v>
      </c>
      <c r="H14" s="41" t="s">
        <v>158</v>
      </c>
      <c r="I14" s="42" t="s">
        <v>15</v>
      </c>
      <c r="J14" s="43">
        <f>+D14*G14/100%</f>
        <v>0.2</v>
      </c>
      <c r="K14" s="44">
        <f>D14*M14/100%</f>
        <v>0.1</v>
      </c>
      <c r="L14" s="72"/>
      <c r="M14" s="6">
        <f>VLOOKUP(I14,B47:D52,3,FALSE)</f>
        <v>2</v>
      </c>
      <c r="N14" s="72"/>
      <c r="O14" s="72"/>
    </row>
    <row r="15" spans="1:17" ht="41.25" customHeight="1" x14ac:dyDescent="0.45">
      <c r="A15" s="3">
        <v>5</v>
      </c>
      <c r="B15" s="89" t="s">
        <v>62</v>
      </c>
      <c r="C15" s="79" t="s">
        <v>120</v>
      </c>
      <c r="D15" s="90">
        <v>0.05</v>
      </c>
      <c r="E15" s="41"/>
      <c r="F15" s="39" t="s">
        <v>138</v>
      </c>
      <c r="G15" s="40">
        <v>4</v>
      </c>
      <c r="H15" s="41" t="s">
        <v>159</v>
      </c>
      <c r="I15" s="42" t="s">
        <v>14</v>
      </c>
      <c r="J15" s="43">
        <f t="shared" si="1"/>
        <v>0.2</v>
      </c>
      <c r="K15" s="44">
        <f t="shared" si="0"/>
        <v>0.15000000000000002</v>
      </c>
      <c r="L15" s="72"/>
      <c r="M15" s="6">
        <f>VLOOKUP(I15,B47:D52,3,FALSE)</f>
        <v>3</v>
      </c>
      <c r="N15" s="72"/>
      <c r="O15" s="72"/>
    </row>
    <row r="16" spans="1:17" ht="41.25" customHeight="1" x14ac:dyDescent="0.45">
      <c r="A16" s="3">
        <v>6</v>
      </c>
      <c r="B16" s="89" t="s">
        <v>71</v>
      </c>
      <c r="C16" s="79" t="s">
        <v>121</v>
      </c>
      <c r="D16" s="90">
        <v>0.1</v>
      </c>
      <c r="E16" s="41"/>
      <c r="F16" s="39" t="s">
        <v>149</v>
      </c>
      <c r="G16" s="40">
        <v>3</v>
      </c>
      <c r="H16" s="41" t="s">
        <v>160</v>
      </c>
      <c r="I16" s="42" t="s">
        <v>14</v>
      </c>
      <c r="J16" s="43">
        <f>+D16*G16/100%</f>
        <v>0.30000000000000004</v>
      </c>
      <c r="K16" s="44">
        <f>D16*M16/100%</f>
        <v>0.30000000000000004</v>
      </c>
      <c r="L16" s="72"/>
      <c r="M16" s="6">
        <f>VLOOKUP(I16,B47:D52,3,FALSE)</f>
        <v>3</v>
      </c>
      <c r="N16" s="72"/>
      <c r="O16" s="72"/>
    </row>
    <row r="17" spans="1:15" ht="41.25" customHeight="1" x14ac:dyDescent="0.45">
      <c r="A17" s="3">
        <v>7</v>
      </c>
      <c r="B17" s="89" t="s">
        <v>78</v>
      </c>
      <c r="C17" s="79" t="s">
        <v>122</v>
      </c>
      <c r="D17" s="90">
        <v>0.05</v>
      </c>
      <c r="E17" s="41"/>
      <c r="F17" s="39" t="s">
        <v>133</v>
      </c>
      <c r="G17" s="40">
        <v>4</v>
      </c>
      <c r="H17" s="41" t="s">
        <v>161</v>
      </c>
      <c r="I17" s="42" t="s">
        <v>14</v>
      </c>
      <c r="J17" s="43">
        <f>+D17*G17/100%</f>
        <v>0.2</v>
      </c>
      <c r="K17" s="44">
        <f>D17*M17/100%</f>
        <v>0.15000000000000002</v>
      </c>
      <c r="L17" s="72"/>
      <c r="M17" s="6">
        <f>VLOOKUP(I17,B47:D52,3,FALSE)</f>
        <v>3</v>
      </c>
      <c r="N17" s="72"/>
      <c r="O17" s="72"/>
    </row>
    <row r="18" spans="1:15" ht="41.25" customHeight="1" x14ac:dyDescent="0.45">
      <c r="A18" s="3">
        <v>8</v>
      </c>
      <c r="B18" s="89" t="s">
        <v>75</v>
      </c>
      <c r="C18" s="79" t="s">
        <v>123</v>
      </c>
      <c r="D18" s="90">
        <v>0.05</v>
      </c>
      <c r="E18" s="41"/>
      <c r="F18" s="39" t="s">
        <v>132</v>
      </c>
      <c r="G18" s="40">
        <v>3</v>
      </c>
      <c r="H18" s="41" t="s">
        <v>162</v>
      </c>
      <c r="I18" s="42" t="s">
        <v>14</v>
      </c>
      <c r="J18" s="43">
        <f>+D18*G18/100%</f>
        <v>0.15000000000000002</v>
      </c>
      <c r="K18" s="44">
        <f>D18*M18/100%</f>
        <v>0.15000000000000002</v>
      </c>
      <c r="L18" s="72"/>
      <c r="M18" s="6">
        <f>VLOOKUP(I18,B47:D52,3,FALSE)</f>
        <v>3</v>
      </c>
      <c r="N18" s="72"/>
      <c r="O18" s="72"/>
    </row>
    <row r="19" spans="1:15" ht="41.25" customHeight="1" x14ac:dyDescent="0.45">
      <c r="A19" s="3">
        <v>9</v>
      </c>
      <c r="B19" s="89" t="s">
        <v>74</v>
      </c>
      <c r="C19" s="79" t="s">
        <v>124</v>
      </c>
      <c r="D19" s="90">
        <v>0.05</v>
      </c>
      <c r="E19" s="41"/>
      <c r="F19" s="39" t="s">
        <v>150</v>
      </c>
      <c r="G19" s="40">
        <v>3</v>
      </c>
      <c r="H19" s="41" t="s">
        <v>163</v>
      </c>
      <c r="I19" s="42" t="s">
        <v>15</v>
      </c>
      <c r="J19" s="43">
        <f>+D19*G19/100%</f>
        <v>0.15000000000000002</v>
      </c>
      <c r="K19" s="44">
        <f>D19*M19/100%</f>
        <v>0.1</v>
      </c>
      <c r="L19" s="72"/>
      <c r="M19" s="6">
        <f>VLOOKUP(I19,B47:D52,3,FALSE)</f>
        <v>2</v>
      </c>
      <c r="N19" s="72"/>
      <c r="O19" s="72"/>
    </row>
    <row r="20" spans="1:15" ht="41.25" customHeight="1" x14ac:dyDescent="0.45">
      <c r="A20" s="3">
        <v>10</v>
      </c>
      <c r="B20" s="89" t="s">
        <v>102</v>
      </c>
      <c r="C20" s="79" t="s">
        <v>125</v>
      </c>
      <c r="D20" s="90">
        <v>0.1</v>
      </c>
      <c r="E20" s="41"/>
      <c r="F20" s="39" t="s">
        <v>134</v>
      </c>
      <c r="G20" s="40">
        <v>4</v>
      </c>
      <c r="H20" s="41" t="s">
        <v>164</v>
      </c>
      <c r="I20" s="42" t="s">
        <v>14</v>
      </c>
      <c r="J20" s="43">
        <f>+D20*G20/100%</f>
        <v>0.4</v>
      </c>
      <c r="K20" s="44">
        <f>D20*M20/100%</f>
        <v>0.30000000000000004</v>
      </c>
      <c r="L20" s="72"/>
      <c r="M20" s="6">
        <f>VLOOKUP(I20,B47:D52,3,FALSE)</f>
        <v>3</v>
      </c>
      <c r="N20" s="72"/>
      <c r="O20" s="72"/>
    </row>
    <row r="21" spans="1:15" ht="41.25" customHeight="1" x14ac:dyDescent="0.45">
      <c r="A21" s="3">
        <v>11</v>
      </c>
      <c r="B21" s="87" t="s">
        <v>83</v>
      </c>
      <c r="C21" s="79" t="s">
        <v>126</v>
      </c>
      <c r="D21" s="90">
        <v>0.05</v>
      </c>
      <c r="E21" s="41"/>
      <c r="F21" s="39" t="s">
        <v>135</v>
      </c>
      <c r="G21" s="40">
        <v>4</v>
      </c>
      <c r="H21" s="41" t="s">
        <v>165</v>
      </c>
      <c r="I21" s="42" t="s">
        <v>13</v>
      </c>
      <c r="J21" s="43">
        <f t="shared" si="1"/>
        <v>0.2</v>
      </c>
      <c r="K21" s="44">
        <f t="shared" si="0"/>
        <v>0.2</v>
      </c>
      <c r="L21" s="72"/>
      <c r="M21" s="6">
        <f>VLOOKUP(I21,B47:D52,3,FALSE)</f>
        <v>4</v>
      </c>
      <c r="N21" s="72"/>
      <c r="O21" s="72"/>
    </row>
    <row r="22" spans="1:15" ht="41.25" customHeight="1" x14ac:dyDescent="0.45">
      <c r="A22" s="3">
        <v>12</v>
      </c>
      <c r="B22" s="78" t="s">
        <v>79</v>
      </c>
      <c r="C22" s="79" t="s">
        <v>127</v>
      </c>
      <c r="D22" s="90">
        <v>0.05</v>
      </c>
      <c r="E22" s="41"/>
      <c r="F22" s="39" t="s">
        <v>136</v>
      </c>
      <c r="G22" s="40">
        <v>3</v>
      </c>
      <c r="H22" s="41" t="s">
        <v>166</v>
      </c>
      <c r="I22" s="42" t="s">
        <v>14</v>
      </c>
      <c r="J22" s="43">
        <f t="shared" si="1"/>
        <v>0.15000000000000002</v>
      </c>
      <c r="K22" s="44">
        <f t="shared" si="0"/>
        <v>0.15000000000000002</v>
      </c>
      <c r="L22" s="72"/>
      <c r="M22" s="6">
        <f>VLOOKUP(I22,B47:D52,3,FALSE)</f>
        <v>3</v>
      </c>
      <c r="N22" s="72"/>
      <c r="O22" s="72"/>
    </row>
    <row r="23" spans="1:15" ht="41.25" customHeight="1" x14ac:dyDescent="0.45">
      <c r="A23" s="3">
        <v>13</v>
      </c>
      <c r="B23" s="78" t="s">
        <v>80</v>
      </c>
      <c r="C23" s="79" t="s">
        <v>128</v>
      </c>
      <c r="D23" s="90">
        <v>0.05</v>
      </c>
      <c r="E23" s="41"/>
      <c r="F23" s="39" t="s">
        <v>151</v>
      </c>
      <c r="G23" s="40">
        <v>3</v>
      </c>
      <c r="H23" s="41" t="s">
        <v>167</v>
      </c>
      <c r="I23" s="42" t="s">
        <v>14</v>
      </c>
      <c r="J23" s="43">
        <f t="shared" si="1"/>
        <v>0.15000000000000002</v>
      </c>
      <c r="K23" s="44">
        <f t="shared" si="0"/>
        <v>0.15000000000000002</v>
      </c>
      <c r="L23" s="72"/>
      <c r="M23" s="6">
        <f>VLOOKUP(I23,B47:D52,3,FALSE)</f>
        <v>3</v>
      </c>
      <c r="N23" s="72"/>
      <c r="O23" s="72"/>
    </row>
    <row r="24" spans="1:15" ht="41.25" customHeight="1" x14ac:dyDescent="0.45">
      <c r="A24" s="3">
        <v>14</v>
      </c>
      <c r="B24" s="78" t="s">
        <v>81</v>
      </c>
      <c r="C24" s="79" t="s">
        <v>127</v>
      </c>
      <c r="D24" s="90">
        <v>0.05</v>
      </c>
      <c r="E24" s="41"/>
      <c r="F24" s="39" t="s">
        <v>137</v>
      </c>
      <c r="G24" s="40">
        <v>3</v>
      </c>
      <c r="H24" s="41" t="s">
        <v>168</v>
      </c>
      <c r="I24" s="42" t="s">
        <v>14</v>
      </c>
      <c r="J24" s="43">
        <f>+D24*G24/100%</f>
        <v>0.15000000000000002</v>
      </c>
      <c r="K24" s="44">
        <f>D24*M24/100%</f>
        <v>0.15000000000000002</v>
      </c>
      <c r="M24" s="6">
        <f>VLOOKUP(I24,B47:D52,3,FALSE)</f>
        <v>3</v>
      </c>
    </row>
    <row r="25" spans="1:15" ht="41.25" customHeight="1" x14ac:dyDescent="0.45">
      <c r="A25" s="3">
        <v>15</v>
      </c>
      <c r="B25" s="78" t="s">
        <v>82</v>
      </c>
      <c r="C25" s="79" t="s">
        <v>129</v>
      </c>
      <c r="D25" s="90">
        <v>0.05</v>
      </c>
      <c r="E25" s="41"/>
      <c r="F25" s="39" t="s">
        <v>138</v>
      </c>
      <c r="G25" s="40">
        <v>4</v>
      </c>
      <c r="H25" s="41" t="s">
        <v>179</v>
      </c>
      <c r="I25" s="42" t="s">
        <v>14</v>
      </c>
      <c r="J25" s="43">
        <f t="shared" si="1"/>
        <v>0.2</v>
      </c>
      <c r="K25" s="44">
        <f t="shared" si="0"/>
        <v>0.15000000000000002</v>
      </c>
      <c r="M25" s="6">
        <f>VLOOKUP(I25,B47:D52,3,FALSE)</f>
        <v>3</v>
      </c>
    </row>
    <row r="26" spans="1:15" ht="19" thickBot="1" x14ac:dyDescent="0.5">
      <c r="B26" s="141" t="s">
        <v>31</v>
      </c>
      <c r="C26" s="142"/>
      <c r="D26" s="18">
        <f>SUM(D11:D25)</f>
        <v>1.0000000000000002</v>
      </c>
      <c r="E26" s="143" t="str">
        <f>IF(D26&lt;1,"Weightage is less by "&amp;ROUND((1-D26)*100,1)&amp;"%",IF(D26&gt;1,"Weightage is more by "&amp;ROUND((D26-1)*100,1)&amp;"%",""))</f>
        <v/>
      </c>
      <c r="F26" s="144"/>
      <c r="G26" s="144"/>
      <c r="H26" s="80"/>
      <c r="I26" s="20" t="s">
        <v>35</v>
      </c>
      <c r="J26" s="23">
        <f>SUM(J11:J25)</f>
        <v>3.65</v>
      </c>
      <c r="K26" s="24">
        <f>SUM(K11:K25)</f>
        <v>2.95</v>
      </c>
      <c r="L26" s="38"/>
    </row>
    <row r="27" spans="1:15" ht="19" thickBot="1" x14ac:dyDescent="0.5">
      <c r="B27" s="46"/>
      <c r="C27" s="46"/>
      <c r="D27" s="46"/>
      <c r="E27" s="46"/>
      <c r="F27" s="46"/>
      <c r="G27" s="46"/>
      <c r="H27" s="46"/>
      <c r="I27" s="12"/>
      <c r="J27" s="12"/>
      <c r="K27" s="46"/>
    </row>
    <row r="28" spans="1:15" ht="41.25" customHeight="1" thickBot="1" x14ac:dyDescent="0.65">
      <c r="B28" s="151" t="str">
        <f>"Behavioral competencies: "&amp;(1-J5)*100&amp;"%"</f>
        <v>Behavioral competencies: 20%</v>
      </c>
      <c r="C28" s="152"/>
      <c r="D28" s="153"/>
      <c r="E28" s="153"/>
      <c r="F28" s="153"/>
      <c r="G28" s="153"/>
      <c r="H28" s="153"/>
      <c r="I28" s="153"/>
      <c r="J28" s="153"/>
      <c r="K28" s="154"/>
    </row>
    <row r="29" spans="1:15" ht="55.5" x14ac:dyDescent="0.45">
      <c r="A29" s="2" t="s">
        <v>17</v>
      </c>
      <c r="B29" s="161" t="s">
        <v>26</v>
      </c>
      <c r="C29" s="162"/>
      <c r="D29" s="163"/>
      <c r="E29" s="15" t="s">
        <v>18</v>
      </c>
      <c r="F29" s="15" t="s">
        <v>19</v>
      </c>
      <c r="G29" s="15" t="s">
        <v>11</v>
      </c>
      <c r="H29" s="15" t="s">
        <v>20</v>
      </c>
      <c r="I29" s="15" t="s">
        <v>12</v>
      </c>
      <c r="J29" s="16" t="s">
        <v>28</v>
      </c>
      <c r="K29" s="17" t="s">
        <v>29</v>
      </c>
    </row>
    <row r="30" spans="1:15" x14ac:dyDescent="0.45">
      <c r="A30" s="3">
        <v>1</v>
      </c>
      <c r="B30" s="155" t="s">
        <v>84</v>
      </c>
      <c r="C30" s="156"/>
      <c r="D30" s="157"/>
      <c r="E30" s="62">
        <v>0.1</v>
      </c>
      <c r="F30" s="5" t="s">
        <v>140</v>
      </c>
      <c r="G30" s="40">
        <v>4</v>
      </c>
      <c r="H30" s="33" t="s">
        <v>169</v>
      </c>
      <c r="I30" s="42" t="s">
        <v>13</v>
      </c>
      <c r="J30" s="21">
        <f>+E30*G30/100%</f>
        <v>0.4</v>
      </c>
      <c r="K30" s="22">
        <f>+E30*M30/100%</f>
        <v>0.4</v>
      </c>
      <c r="M30" s="6">
        <f>VLOOKUP(I30,B47:D52,3,FALSE)</f>
        <v>4</v>
      </c>
    </row>
    <row r="31" spans="1:15" x14ac:dyDescent="0.45">
      <c r="A31" s="3">
        <v>2</v>
      </c>
      <c r="B31" s="155" t="s">
        <v>87</v>
      </c>
      <c r="C31" s="156"/>
      <c r="D31" s="157"/>
      <c r="E31" s="62">
        <v>0.1</v>
      </c>
      <c r="F31" s="5" t="s">
        <v>139</v>
      </c>
      <c r="G31" s="40">
        <v>4</v>
      </c>
      <c r="H31" s="33" t="s">
        <v>170</v>
      </c>
      <c r="I31" s="42" t="s">
        <v>14</v>
      </c>
      <c r="J31" s="21">
        <f>+E31*G31/100%</f>
        <v>0.4</v>
      </c>
      <c r="K31" s="22">
        <f t="shared" ref="K31:K39" si="2">+E31*M31/100%</f>
        <v>0.30000000000000004</v>
      </c>
      <c r="M31" s="6">
        <f>VLOOKUP(I31,B47:D52,3,FALSE)</f>
        <v>3</v>
      </c>
    </row>
    <row r="32" spans="1:15" x14ac:dyDescent="0.45">
      <c r="A32" s="3">
        <v>3</v>
      </c>
      <c r="B32" s="155" t="s">
        <v>86</v>
      </c>
      <c r="C32" s="156"/>
      <c r="D32" s="157"/>
      <c r="E32" s="62">
        <v>0.05</v>
      </c>
      <c r="F32" s="5" t="s">
        <v>141</v>
      </c>
      <c r="G32" s="40">
        <v>4</v>
      </c>
      <c r="H32" s="33" t="s">
        <v>171</v>
      </c>
      <c r="I32" s="42" t="s">
        <v>14</v>
      </c>
      <c r="J32" s="21">
        <f>+E32*G32/100%</f>
        <v>0.2</v>
      </c>
      <c r="K32" s="22">
        <f t="shared" si="2"/>
        <v>0.15000000000000002</v>
      </c>
      <c r="M32" s="6">
        <f>VLOOKUP(I32,B47:D52,3,FALSE)</f>
        <v>3</v>
      </c>
    </row>
    <row r="33" spans="1:13" x14ac:dyDescent="0.45">
      <c r="A33" s="3">
        <v>4</v>
      </c>
      <c r="B33" s="155" t="s">
        <v>96</v>
      </c>
      <c r="C33" s="156"/>
      <c r="D33" s="157"/>
      <c r="E33" s="62">
        <v>0.15</v>
      </c>
      <c r="F33" s="5" t="s">
        <v>142</v>
      </c>
      <c r="G33" s="40">
        <v>4</v>
      </c>
      <c r="H33" s="33" t="s">
        <v>172</v>
      </c>
      <c r="I33" s="42" t="s">
        <v>14</v>
      </c>
      <c r="J33" s="21">
        <f t="shared" ref="J33:J39" si="3">+E33*G33/100%</f>
        <v>0.6</v>
      </c>
      <c r="K33" s="22">
        <f t="shared" si="2"/>
        <v>0.44999999999999996</v>
      </c>
      <c r="M33" s="6">
        <f>VLOOKUP(I33,B47:D52,3,FALSE)</f>
        <v>3</v>
      </c>
    </row>
    <row r="34" spans="1:13" x14ac:dyDescent="0.45">
      <c r="A34" s="3">
        <v>5</v>
      </c>
      <c r="B34" s="155" t="s">
        <v>93</v>
      </c>
      <c r="C34" s="156"/>
      <c r="D34" s="157"/>
      <c r="E34" s="62">
        <v>0.1</v>
      </c>
      <c r="F34" s="5" t="s">
        <v>143</v>
      </c>
      <c r="G34" s="40">
        <v>4</v>
      </c>
      <c r="H34" s="33" t="s">
        <v>173</v>
      </c>
      <c r="I34" s="42" t="s">
        <v>14</v>
      </c>
      <c r="J34" s="21">
        <f t="shared" si="3"/>
        <v>0.4</v>
      </c>
      <c r="K34" s="22">
        <f t="shared" si="2"/>
        <v>0.30000000000000004</v>
      </c>
      <c r="M34" s="6">
        <f>VLOOKUP(I34,B47:D52,3,FALSE)</f>
        <v>3</v>
      </c>
    </row>
    <row r="35" spans="1:13" x14ac:dyDescent="0.45">
      <c r="A35" s="3">
        <v>6</v>
      </c>
      <c r="B35" s="155" t="s">
        <v>91</v>
      </c>
      <c r="C35" s="156"/>
      <c r="D35" s="157"/>
      <c r="E35" s="62">
        <v>0.1</v>
      </c>
      <c r="F35" s="5" t="s">
        <v>153</v>
      </c>
      <c r="G35" s="40">
        <v>4</v>
      </c>
      <c r="H35" s="33" t="s">
        <v>174</v>
      </c>
      <c r="I35" s="42" t="s">
        <v>13</v>
      </c>
      <c r="J35" s="21">
        <f t="shared" si="3"/>
        <v>0.4</v>
      </c>
      <c r="K35" s="22">
        <f t="shared" si="2"/>
        <v>0.4</v>
      </c>
      <c r="M35" s="6">
        <f>VLOOKUP(I35,B47:D52,3,FALSE)</f>
        <v>4</v>
      </c>
    </row>
    <row r="36" spans="1:13" x14ac:dyDescent="0.45">
      <c r="A36" s="3">
        <v>7</v>
      </c>
      <c r="B36" s="155" t="s">
        <v>92</v>
      </c>
      <c r="C36" s="156"/>
      <c r="D36" s="157"/>
      <c r="E36" s="62">
        <v>0.1</v>
      </c>
      <c r="F36" s="5" t="s">
        <v>144</v>
      </c>
      <c r="G36" s="40">
        <v>4</v>
      </c>
      <c r="H36" s="33" t="s">
        <v>175</v>
      </c>
      <c r="I36" s="42" t="s">
        <v>13</v>
      </c>
      <c r="J36" s="21">
        <f t="shared" si="3"/>
        <v>0.4</v>
      </c>
      <c r="K36" s="22">
        <f t="shared" si="2"/>
        <v>0.4</v>
      </c>
      <c r="M36" s="6">
        <f>VLOOKUP(I36,B47:D52,3,FALSE)</f>
        <v>4</v>
      </c>
    </row>
    <row r="37" spans="1:13" x14ac:dyDescent="0.45">
      <c r="A37" s="3">
        <v>8</v>
      </c>
      <c r="B37" s="155" t="s">
        <v>94</v>
      </c>
      <c r="C37" s="156"/>
      <c r="D37" s="157"/>
      <c r="E37" s="62">
        <v>0.05</v>
      </c>
      <c r="F37" s="5" t="s">
        <v>152</v>
      </c>
      <c r="G37" s="40">
        <v>4</v>
      </c>
      <c r="H37" s="33" t="s">
        <v>176</v>
      </c>
      <c r="I37" s="42" t="s">
        <v>15</v>
      </c>
      <c r="J37" s="21">
        <f t="shared" si="3"/>
        <v>0.2</v>
      </c>
      <c r="K37" s="22">
        <f t="shared" si="2"/>
        <v>0.1</v>
      </c>
      <c r="M37" s="6">
        <f>VLOOKUP(I37,B47:D52,3,FALSE)</f>
        <v>2</v>
      </c>
    </row>
    <row r="38" spans="1:13" x14ac:dyDescent="0.45">
      <c r="A38" s="3">
        <v>9</v>
      </c>
      <c r="B38" s="155" t="s">
        <v>90</v>
      </c>
      <c r="C38" s="156"/>
      <c r="D38" s="157"/>
      <c r="E38" s="62">
        <v>0.15</v>
      </c>
      <c r="F38" s="5" t="s">
        <v>145</v>
      </c>
      <c r="G38" s="40">
        <v>4</v>
      </c>
      <c r="H38" s="33" t="s">
        <v>177</v>
      </c>
      <c r="I38" s="42" t="s">
        <v>13</v>
      </c>
      <c r="J38" s="21">
        <f>+E38*G38/100%</f>
        <v>0.6</v>
      </c>
      <c r="K38" s="22">
        <f>+E38*M38/100%</f>
        <v>0.6</v>
      </c>
      <c r="M38" s="6">
        <f>VLOOKUP(I38,B47:D52,3,FALSE)</f>
        <v>4</v>
      </c>
    </row>
    <row r="39" spans="1:13" x14ac:dyDescent="0.45">
      <c r="A39" s="3">
        <v>10</v>
      </c>
      <c r="B39" s="155" t="s">
        <v>97</v>
      </c>
      <c r="C39" s="156"/>
      <c r="D39" s="157"/>
      <c r="E39" s="62">
        <v>0.1</v>
      </c>
      <c r="F39" s="5" t="s">
        <v>146</v>
      </c>
      <c r="G39" s="40">
        <v>4</v>
      </c>
      <c r="H39" s="33" t="s">
        <v>178</v>
      </c>
      <c r="I39" s="42" t="s">
        <v>14</v>
      </c>
      <c r="J39" s="21">
        <f t="shared" si="3"/>
        <v>0.4</v>
      </c>
      <c r="K39" s="22">
        <f t="shared" si="2"/>
        <v>0.30000000000000004</v>
      </c>
      <c r="M39" s="6">
        <f>VLOOKUP(I39,B47:D52,3,FALSE)</f>
        <v>3</v>
      </c>
    </row>
    <row r="40" spans="1:13" ht="19" thickBot="1" x14ac:dyDescent="0.5">
      <c r="A40" s="3"/>
      <c r="B40" s="169" t="s">
        <v>31</v>
      </c>
      <c r="C40" s="170"/>
      <c r="D40" s="171"/>
      <c r="E40" s="19">
        <f>SUM(E30:E39)</f>
        <v>1</v>
      </c>
      <c r="F40" s="172" t="s">
        <v>35</v>
      </c>
      <c r="G40" s="142"/>
      <c r="H40" s="142"/>
      <c r="I40" s="142"/>
      <c r="J40" s="25">
        <f>SUM(J30:J39)</f>
        <v>4</v>
      </c>
      <c r="K40" s="26">
        <f>SUM(K30:K39)</f>
        <v>3.4000000000000004</v>
      </c>
      <c r="L40" s="7"/>
    </row>
    <row r="41" spans="1:13" customFormat="1" ht="30" customHeight="1" thickBot="1" x14ac:dyDescent="0.5">
      <c r="B41" s="14"/>
      <c r="C41" s="14"/>
      <c r="D41" s="14"/>
      <c r="E41" s="167" t="str">
        <f>IF(E40&lt;1,"Weightage is less by "&amp;ROUND((1-E40)*100,1)&amp;"%",IF(E40&gt;1,"Weightage is more by "&amp;ROUND((E40-1)*100,1)&amp;"%",""))</f>
        <v/>
      </c>
      <c r="F41" s="168"/>
      <c r="G41" s="66"/>
      <c r="H41" s="67"/>
      <c r="I41" s="14"/>
      <c r="J41" s="14"/>
      <c r="K41" s="14"/>
      <c r="M41" s="13"/>
    </row>
    <row r="42" spans="1:13" customFormat="1" ht="51.75" customHeight="1" thickBot="1" x14ac:dyDescent="0.5">
      <c r="B42" s="77" t="s">
        <v>98</v>
      </c>
      <c r="C42" s="60" t="s">
        <v>99</v>
      </c>
      <c r="D42" s="68" t="s">
        <v>14</v>
      </c>
      <c r="E42" s="60" t="s">
        <v>100</v>
      </c>
      <c r="F42" s="164" t="s">
        <v>180</v>
      </c>
      <c r="G42" s="165"/>
      <c r="H42" s="165"/>
      <c r="I42" s="165"/>
      <c r="J42" s="165"/>
      <c r="K42" s="166"/>
      <c r="M42" s="13"/>
    </row>
    <row r="43" spans="1:13" customFormat="1" ht="30" customHeight="1" thickBot="1" x14ac:dyDescent="0.4">
      <c r="B43" s="14"/>
      <c r="C43" s="14"/>
      <c r="D43" s="14"/>
      <c r="E43" s="14"/>
      <c r="F43" s="14"/>
      <c r="G43" s="14"/>
      <c r="H43" s="14"/>
      <c r="I43" s="14"/>
      <c r="J43" s="14"/>
      <c r="K43" s="14"/>
      <c r="M43" s="13"/>
    </row>
    <row r="44" spans="1:13" x14ac:dyDescent="0.45">
      <c r="A44" s="3"/>
      <c r="B44" s="158" t="str">
        <f>B8</f>
        <v>KRAs: 80%</v>
      </c>
      <c r="C44" s="159"/>
      <c r="D44" s="159"/>
      <c r="E44" s="159"/>
      <c r="F44" s="159"/>
      <c r="G44" s="159"/>
      <c r="H44" s="159"/>
      <c r="I44" s="160"/>
      <c r="J44" s="27">
        <f>+J26*J5</f>
        <v>2.92</v>
      </c>
      <c r="K44" s="28">
        <f>+K26*J5</f>
        <v>2.3600000000000003</v>
      </c>
    </row>
    <row r="45" spans="1:13" x14ac:dyDescent="0.45">
      <c r="A45" s="3"/>
      <c r="B45" s="145" t="str">
        <f>B28</f>
        <v>Behavioral competencies: 20%</v>
      </c>
      <c r="C45" s="146"/>
      <c r="D45" s="146"/>
      <c r="E45" s="146"/>
      <c r="F45" s="146"/>
      <c r="G45" s="146"/>
      <c r="H45" s="146"/>
      <c r="I45" s="147"/>
      <c r="J45" s="29">
        <f>+J40*J6</f>
        <v>0.79999999999999982</v>
      </c>
      <c r="K45" s="30">
        <f>+K40*J6</f>
        <v>0.67999999999999994</v>
      </c>
    </row>
    <row r="46" spans="1:13" ht="31.5" thickBot="1" x14ac:dyDescent="0.75">
      <c r="B46" s="148" t="s">
        <v>32</v>
      </c>
      <c r="C46" s="149"/>
      <c r="D46" s="149"/>
      <c r="E46" s="149"/>
      <c r="F46" s="149"/>
      <c r="G46" s="149"/>
      <c r="H46" s="149"/>
      <c r="I46" s="150"/>
      <c r="J46" s="31">
        <f>(J40*J6)+(J26*J5)</f>
        <v>3.7199999999999998</v>
      </c>
      <c r="K46" s="32">
        <f>(K40*J6)+(K26*J5)</f>
        <v>3.04</v>
      </c>
    </row>
    <row r="47" spans="1:13" s="6" customFormat="1" x14ac:dyDescent="0.45">
      <c r="A47" s="11"/>
      <c r="B47" s="11"/>
      <c r="C47" s="11"/>
      <c r="D47" s="11"/>
      <c r="E47" s="11"/>
      <c r="J47" s="74" t="s">
        <v>33</v>
      </c>
      <c r="K47" s="8" t="s">
        <v>34</v>
      </c>
    </row>
    <row r="48" spans="1:13" s="6" customFormat="1" x14ac:dyDescent="0.45">
      <c r="A48" s="11"/>
      <c r="B48" s="6" t="s">
        <v>13</v>
      </c>
      <c r="D48" s="6">
        <v>4</v>
      </c>
      <c r="F48" s="75" t="s">
        <v>53</v>
      </c>
      <c r="H48" s="76" t="s">
        <v>84</v>
      </c>
    </row>
    <row r="49" spans="1:8" s="6" customFormat="1" x14ac:dyDescent="0.45">
      <c r="A49" s="11"/>
      <c r="B49" s="6" t="s">
        <v>14</v>
      </c>
      <c r="D49" s="6">
        <v>3</v>
      </c>
      <c r="F49" s="75" t="s">
        <v>52</v>
      </c>
      <c r="H49" s="76" t="s">
        <v>94</v>
      </c>
    </row>
    <row r="50" spans="1:8" s="6" customFormat="1" x14ac:dyDescent="0.45">
      <c r="A50" s="11"/>
      <c r="B50" s="6" t="s">
        <v>15</v>
      </c>
      <c r="D50" s="6">
        <v>2</v>
      </c>
      <c r="F50" s="75" t="s">
        <v>73</v>
      </c>
      <c r="H50" s="76" t="s">
        <v>87</v>
      </c>
    </row>
    <row r="51" spans="1:8" s="6" customFormat="1" x14ac:dyDescent="0.45">
      <c r="A51" s="11"/>
      <c r="B51" s="6" t="s">
        <v>16</v>
      </c>
      <c r="D51" s="6">
        <v>1</v>
      </c>
      <c r="F51" s="75" t="s">
        <v>59</v>
      </c>
      <c r="H51" s="76" t="s">
        <v>86</v>
      </c>
    </row>
    <row r="52" spans="1:8" s="6" customFormat="1" x14ac:dyDescent="0.45">
      <c r="A52" s="11"/>
      <c r="B52" s="6">
        <v>0</v>
      </c>
      <c r="D52" s="6">
        <v>0</v>
      </c>
      <c r="F52" s="75" t="s">
        <v>65</v>
      </c>
      <c r="H52" s="76" t="s">
        <v>85</v>
      </c>
    </row>
    <row r="53" spans="1:8" s="6" customFormat="1" x14ac:dyDescent="0.45">
      <c r="A53" s="11"/>
      <c r="F53" s="75" t="s">
        <v>68</v>
      </c>
      <c r="H53" s="76" t="s">
        <v>89</v>
      </c>
    </row>
    <row r="54" spans="1:8" s="6" customFormat="1" x14ac:dyDescent="0.45">
      <c r="A54" s="11"/>
      <c r="B54" s="6" t="s">
        <v>21</v>
      </c>
      <c r="D54" s="8">
        <v>5</v>
      </c>
      <c r="F54" s="75" t="s">
        <v>58</v>
      </c>
      <c r="H54" s="76" t="s">
        <v>96</v>
      </c>
    </row>
    <row r="55" spans="1:8" s="6" customFormat="1" x14ac:dyDescent="0.45">
      <c r="A55" s="11"/>
      <c r="B55" s="6" t="s">
        <v>22</v>
      </c>
      <c r="D55" s="8">
        <v>4</v>
      </c>
      <c r="F55" s="75" t="s">
        <v>61</v>
      </c>
      <c r="H55" s="76" t="s">
        <v>93</v>
      </c>
    </row>
    <row r="56" spans="1:8" s="6" customFormat="1" x14ac:dyDescent="0.45">
      <c r="A56" s="11"/>
      <c r="B56" s="6" t="s">
        <v>23</v>
      </c>
      <c r="D56" s="8">
        <v>3</v>
      </c>
      <c r="F56" s="75" t="s">
        <v>66</v>
      </c>
      <c r="H56" s="76" t="s">
        <v>95</v>
      </c>
    </row>
    <row r="57" spans="1:8" s="6" customFormat="1" x14ac:dyDescent="0.45">
      <c r="A57" s="11"/>
      <c r="B57" s="6" t="s">
        <v>24</v>
      </c>
      <c r="D57" s="8">
        <v>2</v>
      </c>
      <c r="F57" s="75" t="s">
        <v>76</v>
      </c>
      <c r="H57" s="76" t="s">
        <v>91</v>
      </c>
    </row>
    <row r="58" spans="1:8" s="6" customFormat="1" x14ac:dyDescent="0.45">
      <c r="A58" s="11"/>
      <c r="B58" s="6" t="s">
        <v>25</v>
      </c>
      <c r="D58" s="8">
        <v>1</v>
      </c>
      <c r="F58" s="75" t="s">
        <v>67</v>
      </c>
      <c r="H58" s="76" t="s">
        <v>97</v>
      </c>
    </row>
    <row r="59" spans="1:8" s="6" customFormat="1" x14ac:dyDescent="0.45">
      <c r="A59" s="11"/>
      <c r="B59" s="6" t="s">
        <v>27</v>
      </c>
      <c r="D59" s="8">
        <v>0</v>
      </c>
      <c r="F59" s="75" t="s">
        <v>104</v>
      </c>
      <c r="H59" s="76" t="s">
        <v>90</v>
      </c>
    </row>
    <row r="60" spans="1:8" x14ac:dyDescent="0.45">
      <c r="A60" s="11"/>
      <c r="B60" s="6"/>
      <c r="C60" s="6"/>
      <c r="D60" s="6"/>
      <c r="E60" s="6"/>
      <c r="F60" s="75" t="s">
        <v>62</v>
      </c>
      <c r="G60" s="6"/>
      <c r="H60" s="76" t="s">
        <v>88</v>
      </c>
    </row>
    <row r="61" spans="1:8" x14ac:dyDescent="0.45">
      <c r="A61" s="11"/>
      <c r="B61" s="6"/>
      <c r="C61" s="6"/>
      <c r="D61" s="6"/>
      <c r="E61" s="6"/>
      <c r="F61" s="75" t="s">
        <v>70</v>
      </c>
      <c r="G61" s="6"/>
      <c r="H61" s="76" t="s">
        <v>92</v>
      </c>
    </row>
    <row r="62" spans="1:8" x14ac:dyDescent="0.45">
      <c r="A62" s="11"/>
      <c r="B62" s="6"/>
      <c r="C62" s="6"/>
      <c r="D62" s="6"/>
      <c r="E62" s="6"/>
      <c r="F62" s="75" t="s">
        <v>101</v>
      </c>
      <c r="G62" s="6"/>
      <c r="H62" s="6"/>
    </row>
    <row r="63" spans="1:8" x14ac:dyDescent="0.45">
      <c r="B63" s="6"/>
      <c r="C63" s="6"/>
      <c r="D63" s="6"/>
      <c r="E63" s="6"/>
      <c r="F63" s="75" t="s">
        <v>57</v>
      </c>
      <c r="G63" s="6"/>
      <c r="H63" s="6"/>
    </row>
    <row r="64" spans="1:8" x14ac:dyDescent="0.45">
      <c r="B64" s="6"/>
      <c r="C64" s="6"/>
      <c r="D64" s="6"/>
      <c r="E64" s="6" t="str">
        <f>kralist</f>
        <v>Presentation skills</v>
      </c>
      <c r="F64" s="75" t="s">
        <v>78</v>
      </c>
      <c r="G64" s="6"/>
      <c r="H64" s="6"/>
    </row>
    <row r="65" spans="2:8" x14ac:dyDescent="0.45">
      <c r="B65" s="6"/>
      <c r="C65" s="6"/>
      <c r="D65" s="6"/>
      <c r="E65" s="6"/>
      <c r="F65" s="75" t="s">
        <v>64</v>
      </c>
      <c r="G65" s="6"/>
      <c r="H65" s="6"/>
    </row>
    <row r="66" spans="2:8" x14ac:dyDescent="0.45">
      <c r="B66" s="6"/>
      <c r="C66" s="6"/>
      <c r="D66" s="6"/>
      <c r="E66" s="6"/>
      <c r="F66" s="75" t="s">
        <v>60</v>
      </c>
      <c r="G66" s="6"/>
      <c r="H66" s="6"/>
    </row>
    <row r="67" spans="2:8" x14ac:dyDescent="0.45">
      <c r="B67" s="6"/>
      <c r="C67" s="6"/>
      <c r="D67" s="6"/>
      <c r="E67" s="6"/>
      <c r="F67" s="75" t="s">
        <v>75</v>
      </c>
      <c r="G67" s="6"/>
      <c r="H67" s="6"/>
    </row>
    <row r="68" spans="2:8" x14ac:dyDescent="0.45">
      <c r="B68" s="6"/>
      <c r="C68" s="6"/>
      <c r="D68" s="6"/>
      <c r="E68" s="6"/>
      <c r="F68" s="75" t="s">
        <v>77</v>
      </c>
      <c r="G68" s="6"/>
      <c r="H68" s="6"/>
    </row>
    <row r="69" spans="2:8" x14ac:dyDescent="0.45">
      <c r="B69" s="6"/>
      <c r="C69" s="6"/>
      <c r="D69" s="6"/>
      <c r="E69" s="6"/>
      <c r="F69" s="75" t="s">
        <v>74</v>
      </c>
      <c r="G69" s="6"/>
      <c r="H69" s="6"/>
    </row>
    <row r="70" spans="2:8" x14ac:dyDescent="0.45">
      <c r="B70" s="6"/>
      <c r="C70" s="6"/>
      <c r="D70" s="6"/>
      <c r="E70" s="6"/>
      <c r="F70" s="75" t="s">
        <v>102</v>
      </c>
      <c r="G70" s="6"/>
      <c r="H70" s="6"/>
    </row>
    <row r="71" spans="2:8" x14ac:dyDescent="0.45">
      <c r="B71" s="6"/>
      <c r="C71" s="6"/>
      <c r="D71" s="6"/>
      <c r="E71" s="6"/>
      <c r="F71" s="75" t="s">
        <v>103</v>
      </c>
      <c r="G71" s="6"/>
      <c r="H71" s="6"/>
    </row>
    <row r="72" spans="2:8" x14ac:dyDescent="0.45">
      <c r="B72" s="6"/>
      <c r="C72" s="6"/>
      <c r="D72" s="6"/>
      <c r="E72" s="6"/>
      <c r="F72" s="75" t="s">
        <v>71</v>
      </c>
      <c r="G72" s="6"/>
      <c r="H72" s="6"/>
    </row>
    <row r="73" spans="2:8" x14ac:dyDescent="0.45">
      <c r="B73" s="6"/>
      <c r="C73" s="6"/>
      <c r="D73" s="6"/>
      <c r="E73" s="6"/>
      <c r="F73" s="75" t="s">
        <v>56</v>
      </c>
      <c r="G73" s="6"/>
      <c r="H73" s="6"/>
    </row>
    <row r="74" spans="2:8" x14ac:dyDescent="0.45">
      <c r="B74" s="6"/>
      <c r="C74" s="6"/>
      <c r="D74" s="6"/>
      <c r="E74" s="6"/>
      <c r="F74" s="75" t="s">
        <v>55</v>
      </c>
      <c r="G74" s="6"/>
      <c r="H74" s="6"/>
    </row>
    <row r="75" spans="2:8" x14ac:dyDescent="0.45">
      <c r="B75" s="6"/>
      <c r="C75" s="6"/>
      <c r="D75" s="6"/>
      <c r="E75" s="6"/>
      <c r="F75" s="75" t="s">
        <v>54</v>
      </c>
      <c r="G75" s="6"/>
      <c r="H75" s="6"/>
    </row>
    <row r="76" spans="2:8" x14ac:dyDescent="0.45">
      <c r="B76" s="6"/>
      <c r="C76" s="6"/>
      <c r="D76" s="6"/>
      <c r="E76" s="6"/>
      <c r="F76" s="75" t="s">
        <v>69</v>
      </c>
      <c r="G76" s="6"/>
      <c r="H76" s="6"/>
    </row>
    <row r="77" spans="2:8" x14ac:dyDescent="0.45">
      <c r="B77" s="6"/>
      <c r="C77" s="6"/>
      <c r="D77" s="6"/>
      <c r="E77" s="6"/>
      <c r="F77" s="75" t="s">
        <v>72</v>
      </c>
      <c r="G77" s="6"/>
      <c r="H77" s="6"/>
    </row>
    <row r="78" spans="2:8" x14ac:dyDescent="0.45">
      <c r="B78" s="6"/>
      <c r="C78" s="6"/>
      <c r="D78" s="6"/>
      <c r="E78" s="6"/>
      <c r="F78" s="75" t="s">
        <v>63</v>
      </c>
      <c r="G78" s="6"/>
      <c r="H78" s="6"/>
    </row>
    <row r="79" spans="2:8" x14ac:dyDescent="0.45">
      <c r="B79" s="6"/>
      <c r="C79" s="6"/>
      <c r="D79" s="6"/>
      <c r="E79" s="6"/>
      <c r="F79" s="11"/>
      <c r="G79" s="6"/>
      <c r="H79" s="6"/>
    </row>
    <row r="80" spans="2:8" x14ac:dyDescent="0.45">
      <c r="B80" s="6"/>
      <c r="C80" s="6"/>
      <c r="D80" s="6"/>
      <c r="E80" s="6"/>
      <c r="F80" s="11"/>
      <c r="G80" s="6"/>
      <c r="H80" s="6"/>
    </row>
    <row r="81" spans="2:8" x14ac:dyDescent="0.45">
      <c r="B81" s="6"/>
      <c r="C81" s="6"/>
      <c r="D81" s="6"/>
      <c r="E81" s="6"/>
      <c r="F81" s="6"/>
      <c r="G81" s="6"/>
      <c r="H81" s="6"/>
    </row>
  </sheetData>
  <sheetProtection algorithmName="SHA-512" hashValue="/4PSPO1R8YxJKwQZNcM4HnNXdI0znm2fF0rZRxH6WVoGd2qrDCfRePTQKXjyKz9SczEprM1TgPGvaM8RGbHIyQ==" saltValue="2WDEdzOfaFfB+5bNfnjUpg==" spinCount="100000" sheet="1" selectLockedCells="1"/>
  <sortState xmlns:xlrd2="http://schemas.microsoft.com/office/spreadsheetml/2017/richdata2" ref="F48:F78">
    <sortCondition ref="F48:F78"/>
  </sortState>
  <dataConsolidate/>
  <mergeCells count="32">
    <mergeCell ref="B35:D35"/>
    <mergeCell ref="B40:D40"/>
    <mergeCell ref="F40:I40"/>
    <mergeCell ref="B36:D36"/>
    <mergeCell ref="B37:D37"/>
    <mergeCell ref="B26:C26"/>
    <mergeCell ref="E26:G26"/>
    <mergeCell ref="B45:I45"/>
    <mergeCell ref="B46:I46"/>
    <mergeCell ref="B28:K28"/>
    <mergeCell ref="B39:D39"/>
    <mergeCell ref="B30:D30"/>
    <mergeCell ref="B38:D38"/>
    <mergeCell ref="B44:I44"/>
    <mergeCell ref="B29:D29"/>
    <mergeCell ref="B31:D31"/>
    <mergeCell ref="B32:D32"/>
    <mergeCell ref="F42:K42"/>
    <mergeCell ref="E41:F41"/>
    <mergeCell ref="B33:D33"/>
    <mergeCell ref="B34:D34"/>
    <mergeCell ref="B1:K1"/>
    <mergeCell ref="B8:K9"/>
    <mergeCell ref="J3:K3"/>
    <mergeCell ref="H5:I5"/>
    <mergeCell ref="C3:F3"/>
    <mergeCell ref="C4:F4"/>
    <mergeCell ref="J5:K5"/>
    <mergeCell ref="H6:I6"/>
    <mergeCell ref="J6:K6"/>
    <mergeCell ref="C5:G5"/>
    <mergeCell ref="H4:K4"/>
  </mergeCells>
  <conditionalFormatting sqref="E40">
    <cfRule type="cellIs" dxfId="6" priority="10" operator="lessThan">
      <formula>1</formula>
    </cfRule>
  </conditionalFormatting>
  <conditionalFormatting sqref="D26">
    <cfRule type="cellIs" dxfId="5" priority="7" operator="lessThan">
      <formula>1</formula>
    </cfRule>
    <cfRule type="cellIs" dxfId="4" priority="8" operator="greaterThan">
      <formula>1</formula>
    </cfRule>
  </conditionalFormatting>
  <conditionalFormatting sqref="E26">
    <cfRule type="expression" dxfId="3" priority="3">
      <formula>$D$26&gt;1</formula>
    </cfRule>
    <cfRule type="expression" dxfId="2" priority="4">
      <formula>$D$26&lt;1</formula>
    </cfRule>
  </conditionalFormatting>
  <conditionalFormatting sqref="E41">
    <cfRule type="expression" dxfId="1" priority="1">
      <formula>$D$26&gt;1</formula>
    </cfRule>
    <cfRule type="expression" dxfId="0" priority="2">
      <formula>$D$26&lt;1</formula>
    </cfRule>
  </conditionalFormatting>
  <dataValidations xWindow="858" yWindow="296" count="7">
    <dataValidation type="list" allowBlank="1" showInputMessage="1" showErrorMessage="1" sqref="I30:I39 D42 I11:I25" xr:uid="{00000000-0002-0000-0200-000000000000}">
      <formula1>$B$47:$B$52</formula1>
    </dataValidation>
    <dataValidation type="whole" errorStyle="information" operator="equal" allowBlank="1" showErrorMessage="1" errorTitle="Weightage Total - Profinch" error="Hi,_x000a__x000a_Weightage cannot be less than or more than 100%._x000a__x000a_Regards_x000a_Team HR_x000a_" sqref="D26" xr:uid="{3B0EA146-90F7-495C-A2A8-6D706951916A}">
      <formula1>1</formula1>
    </dataValidation>
    <dataValidation type="list" allowBlank="1" showInputMessage="1" showErrorMessage="1" sqref="G11:G25 G30:G39" xr:uid="{23BFD9C8-D484-433E-BC33-070A0309CF65}">
      <formula1>"1,2,3,4"</formula1>
    </dataValidation>
    <dataValidation errorStyle="information" allowBlank="1" showInputMessage="1" showErrorMessage="1" errorTitle="Employee ID - Profinch" error="_x000a_Hi,_x000a__x000a_Please select your employee ID from the list. _x000a_Thank you_x000a__x000a_Regards_x000a_Team HR_x000a__x000a_" sqref="H3" xr:uid="{C7C9FC99-BA24-4707-84D5-D8D07671C86B}"/>
    <dataValidation type="list" allowBlank="1" showInputMessage="1" showErrorMessage="1" sqref="C4:F4" xr:uid="{B25496DA-69C4-4A83-B313-26FA2D2ACA3A}">
      <formula1>"Individual Contributor, People Manager, Group Head"</formula1>
    </dataValidation>
    <dataValidation type="list" allowBlank="1" showInputMessage="1" showErrorMessage="1" sqref="B30:D39" xr:uid="{8F63B48F-71AA-40F1-889E-CAD1089639BA}">
      <formula1>INDIRECT("behave")</formula1>
    </dataValidation>
    <dataValidation type="list" allowBlank="1" showInputMessage="1" showErrorMessage="1" sqref="B11:B20" xr:uid="{895B00C7-F066-45F2-8196-0C8142F12C29}">
      <formula1>INDIRECT("kralist1")</formula1>
    </dataValidation>
  </dataValidations>
  <pageMargins left="0.7" right="0.7" top="0.75" bottom="0.75" header="0.3" footer="0.3"/>
  <pageSetup paperSize="9" scale="37"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Instructions</vt:lpstr>
      <vt:lpstr>Ratings</vt:lpstr>
      <vt:lpstr>Appraisal Form</vt:lpstr>
      <vt:lpstr>behave</vt:lpstr>
      <vt:lpstr>data</vt:lpstr>
      <vt:lpstr>data1</vt:lpstr>
      <vt:lpstr>kralist</vt:lpstr>
      <vt:lpstr>kralist1</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Ramya Hemmige Venkatesh</dc:creator>
  <cp:lastModifiedBy>Deepti Mayee Mishra</cp:lastModifiedBy>
  <cp:lastPrinted>2018-03-20T09:47:29Z</cp:lastPrinted>
  <dcterms:created xsi:type="dcterms:W3CDTF">2016-04-27T12:40:20Z</dcterms:created>
  <dcterms:modified xsi:type="dcterms:W3CDTF">2021-04-09T05:27:08Z</dcterms:modified>
</cp:coreProperties>
</file>